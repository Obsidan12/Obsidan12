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N:\access\excel only\cocas coca\"/>
    </mc:Choice>
  </mc:AlternateContent>
  <xr:revisionPtr revIDLastSave="0" documentId="13_ncr:1_{33069D85-DB3D-41D4-982B-08002BDE8B76}" xr6:coauthVersionLast="47" xr6:coauthVersionMax="47" xr10:uidLastSave="{00000000-0000-0000-0000-000000000000}"/>
  <bookViews>
    <workbookView xWindow="-120" yWindow="-120" windowWidth="29040" windowHeight="15840" activeTab="3" xr2:uid="{611D4405-A00F-4296-A957-43D4B8EB663B}"/>
  </bookViews>
  <sheets>
    <sheet name="Customers" sheetId="3" r:id="rId1"/>
    <sheet name="Orders" sheetId="8" r:id="rId2"/>
    <sheet name="Products" sheetId="5" r:id="rId3"/>
    <sheet name="Menu" sheetId="1" r:id="rId4"/>
    <sheet name="Invoice" sheetId="6" r:id="rId5"/>
  </sheets>
  <definedNames>
    <definedName name="ExternalData_1" localSheetId="0" hidden="1">'Customers'!$A$1:$J$31</definedName>
    <definedName name="ExternalData_1" localSheetId="1" hidden="1">Orders!$A$1:$D$76</definedName>
    <definedName name="ExternalData_1" localSheetId="2" hidden="1">Products!$A$1:$D$8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2" i="6" l="1"/>
  <c r="M22" i="6"/>
  <c r="I8" i="6"/>
  <c r="I22" i="6"/>
  <c r="K22" i="6" s="1"/>
  <c r="I9" i="6"/>
  <c r="A22" i="6" s="1"/>
  <c r="C15" i="6"/>
  <c r="C14" i="6"/>
  <c r="C13" i="6"/>
  <c r="C12" i="6"/>
  <c r="C11" i="6"/>
  <c r="C10" i="6"/>
  <c r="C9" i="6"/>
  <c r="C8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515EBB2-A9F9-41B6-AB59-150C947DE315}" keepAlive="1" name="Query - Customers" description="Connection to the 'Customers' query in the workbook." type="5" refreshedVersion="8" background="1" saveData="1">
    <dbPr connection="Provider=Microsoft.Mashup.OleDb.1;Data Source=$Workbook$;Location=Customers;Extended Properties=&quot;&quot;" command="SELECT * FROM [Customers]"/>
  </connection>
  <connection id="2" xr16:uid="{FDD2CA5D-E498-483E-98BD-A5AD8ABEB521}" keepAlive="1" name="Query - Orders" description="Connection to the 'Orders' query in the workbook." type="5" refreshedVersion="8" background="1" saveData="1">
    <dbPr connection="Provider=Microsoft.Mashup.OleDb.1;Data Source=$Workbook$;Location=Orders;Extended Properties=&quot;&quot;" command="SELECT * FROM [Orders]"/>
  </connection>
  <connection id="3" xr16:uid="{C844E610-747E-4885-A630-E7247D0F2739}" keepAlive="1" name="Query - Orders (2)" description="Connection to the 'Orders (2)' query in the workbook." type="5" refreshedVersion="8" background="1" saveData="1">
    <dbPr connection="Provider=Microsoft.Mashup.OleDb.1;Data Source=$Workbook$;Location=&quot;Orders (2)&quot;;Extended Properties=&quot;&quot;" command="SELECT * FROM [Orders (2)]"/>
  </connection>
  <connection id="4" xr16:uid="{819DD717-C859-48FF-9F55-D30BB6B38FA5}" keepAlive="1" name="Query - Products" description="Connection to the 'Products' query in the workbook." type="5" refreshedVersion="8" background="1" saveData="1">
    <dbPr connection="Provider=Microsoft.Mashup.OleDb.1;Data Source=$Workbook$;Location=Products;Extended Properties=&quot;&quot;" command="SELECT * FROM [Products]"/>
  </connection>
  <connection id="5" xr16:uid="{20E8E9D3-4E9A-41CE-B5E2-A5995F091A1D}" keepAlive="1" name="Query - WJEC ICT Assignment 2023 - 24" description="Connection to the 'WJEC ICT Assignment 2023 - 24' query in the workbook." type="5" refreshedVersion="0" background="1">
    <dbPr connection="Provider=Microsoft.Mashup.OleDb.1;Data Source=$Workbook$;Location=&quot;WJEC ICT Assignment 2023 - 24&quot;;Extended Properties=&quot;&quot;" command="SELECT * FROM [WJEC ICT Assignment 2023 - 24]"/>
  </connection>
</connections>
</file>

<file path=xl/sharedStrings.xml><?xml version="1.0" encoding="utf-8"?>
<sst xmlns="http://schemas.openxmlformats.org/spreadsheetml/2006/main" count="440" uniqueCount="295">
  <si>
    <t>Column1</t>
  </si>
  <si>
    <t>Customer_ID</t>
  </si>
  <si>
    <t>Title</t>
  </si>
  <si>
    <t>Firstname</t>
  </si>
  <si>
    <t>Town</t>
  </si>
  <si>
    <t>County</t>
  </si>
  <si>
    <t>Postcode</t>
  </si>
  <si>
    <t>Contact_telephone_number</t>
  </si>
  <si>
    <t>CC000001</t>
  </si>
  <si>
    <t>Mr.</t>
  </si>
  <si>
    <t>John</t>
  </si>
  <si>
    <t>Smith</t>
  </si>
  <si>
    <t>1 Main St</t>
  </si>
  <si>
    <t/>
  </si>
  <si>
    <t>London</t>
  </si>
  <si>
    <t>Greater London</t>
  </si>
  <si>
    <t>NW1 3AB</t>
  </si>
  <si>
    <t>020 1234 567881</t>
  </si>
  <si>
    <t>CC000002</t>
  </si>
  <si>
    <t>Mrs.</t>
  </si>
  <si>
    <t>Jane</t>
  </si>
  <si>
    <t>Doe</t>
  </si>
  <si>
    <t>2 High St</t>
  </si>
  <si>
    <t>Apt 5</t>
  </si>
  <si>
    <t>Birmingham</t>
  </si>
  <si>
    <t>West Midlands</t>
  </si>
  <si>
    <t>B1 1AB</t>
  </si>
  <si>
    <t>012 3467 890109</t>
  </si>
  <si>
    <t>CC000003</t>
  </si>
  <si>
    <t>Ms.</t>
  </si>
  <si>
    <t>Emily</t>
  </si>
  <si>
    <t>Brown</t>
  </si>
  <si>
    <t>3 Market Rd</t>
  </si>
  <si>
    <t>Flat 2</t>
  </si>
  <si>
    <t>Liverpool</t>
  </si>
  <si>
    <t>Merseyside</t>
  </si>
  <si>
    <t>L3 7XY</t>
  </si>
  <si>
    <t>015 1234 789083</t>
  </si>
  <si>
    <t>CC000004</t>
  </si>
  <si>
    <t>David</t>
  </si>
  <si>
    <t>Johnson</t>
  </si>
  <si>
    <t>4 King St</t>
  </si>
  <si>
    <t>Suite 4</t>
  </si>
  <si>
    <t>Bristol</t>
  </si>
  <si>
    <t>BS1 4RR</t>
  </si>
  <si>
    <t>017 1234 567870</t>
  </si>
  <si>
    <t>CC000005</t>
  </si>
  <si>
    <t>Samantha</t>
  </si>
  <si>
    <t>Williams</t>
  </si>
  <si>
    <t>5 Park Ave</t>
  </si>
  <si>
    <t>Apt 3</t>
  </si>
  <si>
    <t>Leeds</t>
  </si>
  <si>
    <t>West Yorkshire</t>
  </si>
  <si>
    <t>LS2 7TP</t>
  </si>
  <si>
    <t>019 1234 789089</t>
  </si>
  <si>
    <t>CC000006</t>
  </si>
  <si>
    <t>Kate</t>
  </si>
  <si>
    <t>Jones</t>
  </si>
  <si>
    <t>6 River St</t>
  </si>
  <si>
    <t>Manchester</t>
  </si>
  <si>
    <t>Greater Manchester</t>
  </si>
  <si>
    <t>M1 2RL</t>
  </si>
  <si>
    <t>016 1234 567864</t>
  </si>
  <si>
    <t>CC000007</t>
  </si>
  <si>
    <t>James</t>
  </si>
  <si>
    <t>Taylor</t>
  </si>
  <si>
    <t>7 Bridge St</t>
  </si>
  <si>
    <t>Suite 2</t>
  </si>
  <si>
    <t>Newcastle</t>
  </si>
  <si>
    <t>Tyne and Wear</t>
  </si>
  <si>
    <t>NE1 3AB</t>
  </si>
  <si>
    <t>014 1234 789069</t>
  </si>
  <si>
    <t>CC000008</t>
  </si>
  <si>
    <t>Davies</t>
  </si>
  <si>
    <t>8 Green St</t>
  </si>
  <si>
    <t>Flat 3</t>
  </si>
  <si>
    <t>Nottingham</t>
  </si>
  <si>
    <t>Nottinghamshire</t>
  </si>
  <si>
    <t>NG1 4RR</t>
  </si>
  <si>
    <t>018 1234 567802</t>
  </si>
  <si>
    <t>CC000009</t>
  </si>
  <si>
    <t>Laura</t>
  </si>
  <si>
    <t>Wilson</t>
  </si>
  <si>
    <t>9 Church St</t>
  </si>
  <si>
    <t>Belfast</t>
  </si>
  <si>
    <t>BT1 3AB</t>
  </si>
  <si>
    <t>012 1234 789032</t>
  </si>
  <si>
    <t>CC000010</t>
  </si>
  <si>
    <t>Mr,</t>
  </si>
  <si>
    <t>Michael</t>
  </si>
  <si>
    <t>White</t>
  </si>
  <si>
    <t>10 East St</t>
  </si>
  <si>
    <t>Suite 1</t>
  </si>
  <si>
    <t>Dublin</t>
  </si>
  <si>
    <t>County Dublin</t>
  </si>
  <si>
    <t>D1 4RL</t>
  </si>
  <si>
    <t>011 1234 567813</t>
  </si>
  <si>
    <t>CC000011</t>
  </si>
  <si>
    <t>Robinson</t>
  </si>
  <si>
    <t>11 West St</t>
  </si>
  <si>
    <t>Apt 2</t>
  </si>
  <si>
    <t>Cork</t>
  </si>
  <si>
    <t>County Cork</t>
  </si>
  <si>
    <t>C1 1AB</t>
  </si>
  <si>
    <t>015 1234 789026</t>
  </si>
  <si>
    <t>CC000012</t>
  </si>
  <si>
    <t>Rachel</t>
  </si>
  <si>
    <t>Lewis</t>
  </si>
  <si>
    <t>12 South St</t>
  </si>
  <si>
    <t>Flat 1</t>
  </si>
  <si>
    <t>Limerick</t>
  </si>
  <si>
    <t>County Limerick</t>
  </si>
  <si>
    <t>L1 7XY</t>
  </si>
  <si>
    <t>013 1234 567832</t>
  </si>
  <si>
    <t>CC000013</t>
  </si>
  <si>
    <t>Christopher</t>
  </si>
  <si>
    <t>Evans</t>
  </si>
  <si>
    <t>13 North St</t>
  </si>
  <si>
    <t>Suite 3</t>
  </si>
  <si>
    <t>Galway</t>
  </si>
  <si>
    <t>County Galway</t>
  </si>
  <si>
    <t>G1 4RR</t>
  </si>
  <si>
    <t>014 1234 789041</t>
  </si>
  <si>
    <t>CC000014</t>
  </si>
  <si>
    <t>Rebecca</t>
  </si>
  <si>
    <t>Garcia</t>
  </si>
  <si>
    <t>14 Riverside St</t>
  </si>
  <si>
    <t>Apt 4</t>
  </si>
  <si>
    <t>Derry</t>
  </si>
  <si>
    <t>DY1 3AB</t>
  </si>
  <si>
    <t>016 1234 567891</t>
  </si>
  <si>
    <t>CC000015</t>
  </si>
  <si>
    <t>Sophie</t>
  </si>
  <si>
    <t>Hall</t>
  </si>
  <si>
    <t>15 Lake St</t>
  </si>
  <si>
    <t>Swansea</t>
  </si>
  <si>
    <t>SA1 2RL</t>
  </si>
  <si>
    <t>017 1234 789084</t>
  </si>
  <si>
    <t>CC000016</t>
  </si>
  <si>
    <t>Ryan</t>
  </si>
  <si>
    <t>Green</t>
  </si>
  <si>
    <t>16 Mountain St</t>
  </si>
  <si>
    <t>Cardiff</t>
  </si>
  <si>
    <t>CF1 1AB</t>
  </si>
  <si>
    <t>019 1234 567898</t>
  </si>
  <si>
    <t>CC000017</t>
  </si>
  <si>
    <t>Emma</t>
  </si>
  <si>
    <t>Baker</t>
  </si>
  <si>
    <t>17 Ocean St</t>
  </si>
  <si>
    <t>Plymouth</t>
  </si>
  <si>
    <t>Devon</t>
  </si>
  <si>
    <t>PL1 7XY</t>
  </si>
  <si>
    <t>011 1234 789091</t>
  </si>
  <si>
    <t>CC000018</t>
  </si>
  <si>
    <t>Ms,</t>
  </si>
  <si>
    <t>Jessica</t>
  </si>
  <si>
    <t>Mitchell</t>
  </si>
  <si>
    <t>18 Valley St</t>
  </si>
  <si>
    <t>Apt 1</t>
  </si>
  <si>
    <t>Exeter</t>
  </si>
  <si>
    <t>EX1 4RL</t>
  </si>
  <si>
    <t>012 1234 567858</t>
  </si>
  <si>
    <t>CC000019</t>
  </si>
  <si>
    <t>Richard</t>
  </si>
  <si>
    <t>King</t>
  </si>
  <si>
    <t>19 Canyon St</t>
  </si>
  <si>
    <t>Truro</t>
  </si>
  <si>
    <t>Cornwall</t>
  </si>
  <si>
    <t>TR1 3AB</t>
  </si>
  <si>
    <t>015 1234 788235</t>
  </si>
  <si>
    <t>CC000020</t>
  </si>
  <si>
    <t>Lee</t>
  </si>
  <si>
    <t>20 Hill St</t>
  </si>
  <si>
    <t>St Austell</t>
  </si>
  <si>
    <t>SA1 1AB</t>
  </si>
  <si>
    <t>014 1234 789009</t>
  </si>
  <si>
    <t>CC000021</t>
  </si>
  <si>
    <t>Katie</t>
  </si>
  <si>
    <t>Clark</t>
  </si>
  <si>
    <t>21 Meadow St</t>
  </si>
  <si>
    <t>Newquay</t>
  </si>
  <si>
    <t>NQ1 2RL</t>
  </si>
  <si>
    <t>016 1234 567804</t>
  </si>
  <si>
    <t>CC000022</t>
  </si>
  <si>
    <t>Daniel</t>
  </si>
  <si>
    <t>Murphy</t>
  </si>
  <si>
    <t>22 Forest St</t>
  </si>
  <si>
    <t>Bath</t>
  </si>
  <si>
    <t>Somerset</t>
  </si>
  <si>
    <t>BA1 1AB</t>
  </si>
  <si>
    <t>017 1234 789017</t>
  </si>
  <si>
    <t>CC000023</t>
  </si>
  <si>
    <t>Charlotte</t>
  </si>
  <si>
    <t>Campbell</t>
  </si>
  <si>
    <t>23 River St</t>
  </si>
  <si>
    <t>Taunton</t>
  </si>
  <si>
    <t>TA1 7XY</t>
  </si>
  <si>
    <t>019 1234 567828</t>
  </si>
  <si>
    <t>CC000024</t>
  </si>
  <si>
    <t>Abigail</t>
  </si>
  <si>
    <t>Stewart</t>
  </si>
  <si>
    <t>24 Mountain St</t>
  </si>
  <si>
    <t>Bridgwater</t>
  </si>
  <si>
    <t>BG1 4RL</t>
  </si>
  <si>
    <t>011 1234 789012</t>
  </si>
  <si>
    <t>CC000025</t>
  </si>
  <si>
    <t>Adam</t>
  </si>
  <si>
    <t>Scott</t>
  </si>
  <si>
    <t>25 Lake St</t>
  </si>
  <si>
    <t>Frome</t>
  </si>
  <si>
    <t>FR1 3AB</t>
  </si>
  <si>
    <t>012 1234 567840</t>
  </si>
  <si>
    <t>CC000026</t>
  </si>
  <si>
    <t>Sarah</t>
  </si>
  <si>
    <t>Richardson</t>
  </si>
  <si>
    <t>26 Ocean St</t>
  </si>
  <si>
    <t>Glastonbury</t>
  </si>
  <si>
    <t>GL1 1AB</t>
  </si>
  <si>
    <t>015 1234 789080</t>
  </si>
  <si>
    <t>CC000027</t>
  </si>
  <si>
    <t>Hannah</t>
  </si>
  <si>
    <t>Nelson</t>
  </si>
  <si>
    <t>27 Valley St</t>
  </si>
  <si>
    <t>Wells</t>
  </si>
  <si>
    <t>WE1 2RL</t>
  </si>
  <si>
    <t>014 1234 567851</t>
  </si>
  <si>
    <t>CC000028</t>
  </si>
  <si>
    <t>Parker</t>
  </si>
  <si>
    <t>28 Canyon St</t>
  </si>
  <si>
    <t>Shepton Mallet</t>
  </si>
  <si>
    <t>SM1 4RL</t>
  </si>
  <si>
    <t>016 1234 789098</t>
  </si>
  <si>
    <t>CC000029</t>
  </si>
  <si>
    <t>Anna</t>
  </si>
  <si>
    <t>Mason</t>
  </si>
  <si>
    <t>29 Hill St</t>
  </si>
  <si>
    <t>Warminster</t>
  </si>
  <si>
    <t>Wiltshire</t>
  </si>
  <si>
    <t>WA1 1AB</t>
  </si>
  <si>
    <t>017 1234 567875</t>
  </si>
  <si>
    <t>CC000030</t>
  </si>
  <si>
    <t>Claire</t>
  </si>
  <si>
    <t>Harris</t>
  </si>
  <si>
    <t>30 Meadow St</t>
  </si>
  <si>
    <t>Salisbury</t>
  </si>
  <si>
    <t>SA1 7XY</t>
  </si>
  <si>
    <t>019 1234 789043</t>
  </si>
  <si>
    <t>Order Number</t>
  </si>
  <si>
    <t>Date_of_Order</t>
  </si>
  <si>
    <t>Product_ID</t>
  </si>
  <si>
    <t>Quantity_Ordered</t>
  </si>
  <si>
    <t>Product_Name</t>
  </si>
  <si>
    <t>Product_Description</t>
  </si>
  <si>
    <t>Product_Cost</t>
  </si>
  <si>
    <t>Christmas Hot Chocolate</t>
  </si>
  <si>
    <t>Our Christmas Hot Chocolate is a festive treat made with luxurious ingredients. We start with rich; dark chocolate and add in generous amounts of cinnamon; nutmeg; and a hint of peppermint. Perfect for snuggling up by the fireplace; this hot chocolate is sure to get you in the holiday spirit.</t>
  </si>
  <si>
    <t>Dark Chocolate Hot Chocolate</t>
  </si>
  <si>
    <t>Indulge in our rich and creamy Dark Chocolate Hot Chocolate. Made with the finest quality cocoa and melted chocolate; this luxurious drink is sure to satisfy your sweet tooth.</t>
  </si>
  <si>
    <t>Dark Chocolate Orange Hot Chocolate</t>
  </si>
  <si>
    <t>Our Dark Chocolate Orange Hot Chocolate is a unique and tasty twist on a classic hot chocolate. We start with a base of rich dark chocolate and add in a splash of orange liqueur for a burst of citrus flavor. Perfect for those who love both chocolate and orange.</t>
  </si>
  <si>
    <t>Double Chocolate Hot Chocolate</t>
  </si>
  <si>
    <t>Our Double Chocolate Hot Chocolate is a chocolate lover's dream come true. Made with a combination of rich; dark chocolate and creamy milk chocolate; this hot chocolate is sure to satisfy your cravings. We top it off with whipped cream and a sprinkle of chocolate shavings for an extra indulgent touch.</t>
  </si>
  <si>
    <t>Strawberry White Chocolate Hot Chocolate</t>
  </si>
  <si>
    <t>Our Strawberry White Chocolate Hot Chocolate is a delicious and fruity twist on a classic hot chocolate. We start with a base of creamy white chocolate and add in fresh; juicy strawberries for a burst of flavor. Perfect for a sweet and indulgent treat.</t>
  </si>
  <si>
    <t>Vegan Hot Chocolate</t>
  </si>
  <si>
    <t>Our Vegan Hot Chocolate is a creamy and indulgent treat that is perfect for those following a plant-based diet. Made with a combination of almond milk; cocoa powder; and melted chocolate; this hot chocolate is sure to satisfy your cravings.</t>
  </si>
  <si>
    <t>White Chocolate Hot Chocolate</t>
  </si>
  <si>
    <t>Our White Chocolate Hot Chocolate is a creamy and indulgent treat made with the finest quality white chocolate. Perfect for those with a sweet tooth; this hot chocolate is sure to satisfy your cravings.</t>
  </si>
  <si>
    <t>sdfs</t>
  </si>
  <si>
    <t>MENU</t>
  </si>
  <si>
    <t>^^^^^^^^SCROLL UP ^^^^^^^^^</t>
  </si>
  <si>
    <t>Invoice</t>
  </si>
  <si>
    <t>Address 1</t>
  </si>
  <si>
    <t>Lastname</t>
  </si>
  <si>
    <t>Coca's Cocas</t>
  </si>
  <si>
    <t xml:space="preserve">Address 2 </t>
  </si>
  <si>
    <t>Postecode</t>
  </si>
  <si>
    <t>Dates</t>
  </si>
  <si>
    <t>Order date</t>
  </si>
  <si>
    <t>Invoice issue date</t>
  </si>
  <si>
    <t xml:space="preserve">order number </t>
  </si>
  <si>
    <t>Description</t>
  </si>
  <si>
    <t>price</t>
  </si>
  <si>
    <t>quantity</t>
  </si>
  <si>
    <t xml:space="preserve"> </t>
  </si>
  <si>
    <t>address</t>
  </si>
  <si>
    <t xml:space="preserve">glovers court </t>
  </si>
  <si>
    <t>surname</t>
  </si>
  <si>
    <t>address_1</t>
  </si>
  <si>
    <t>Address_2</t>
  </si>
  <si>
    <t>county</t>
  </si>
  <si>
    <t xml:space="preserve">a company made for you to enjoy a nice cup of hot chocolate or a tasy treat to share with family.  </t>
  </si>
  <si>
    <t>VAT</t>
  </si>
  <si>
    <t>TOTAL</t>
  </si>
  <si>
    <t xml:space="preserve"> sub total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</si>
</sst>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£&quot;* #,##0.00_-;\-&quot;£&quot;* #,##0.00_-;_-&quot;£&quot;* &quot;-&quot;??_-;_-@_-"/>
    <numFmt numFmtId="164" formatCode="_-[$£-809]* #,##0.00_-;\-[$£-809]* #,##0.00_-;_-[$£-809]* &quot;-&quot;??_-;_-@_-"/>
    <numFmt numFmtId="165" formatCode="&quot;£&quot;#,##0.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22"/>
      <color theme="1"/>
      <name val="Calibri"/>
      <family val="2"/>
      <scheme val="minor"/>
    </font>
    <font>
      <sz val="22"/>
      <color rgb="FF000000"/>
      <name val="Calibri"/>
      <family val="2"/>
    </font>
    <font>
      <sz val="11"/>
      <color theme="5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Adobe Gothic Std B"/>
      <family val="2"/>
      <charset val="128"/>
    </font>
    <font>
      <sz val="26"/>
      <color rgb="FF000000"/>
      <name val="Calibri"/>
      <family val="2"/>
    </font>
    <font>
      <sz val="24"/>
      <color rgb="FF000000"/>
      <name val="Calibri"/>
      <family val="2"/>
    </font>
    <font>
      <sz val="20"/>
      <color theme="1"/>
      <name val="Calibri"/>
      <family val="2"/>
      <scheme val="minor"/>
    </font>
    <font>
      <sz val="36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5" tint="0.39997558519241921"/>
        <bgColor theme="5" tint="-0.24994659260841701"/>
      </patternFill>
    </fill>
    <fill>
      <patternFill patternType="solid">
        <fgColor theme="5" tint="0.39997558519241921"/>
        <bgColor theme="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4659260841701"/>
        <bgColor theme="0"/>
      </patternFill>
    </fill>
    <fill>
      <patternFill patternType="solid">
        <fgColor theme="5" tint="-0.24994659260841701"/>
        <bgColor theme="5" tint="-0.24994659260841701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theme="0"/>
      </patternFill>
    </fill>
    <fill>
      <patternFill patternType="solid">
        <fgColor rgb="FF94410E"/>
        <bgColor indexed="64"/>
      </patternFill>
    </fill>
  </fills>
  <borders count="15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64">
    <xf numFmtId="0" fontId="0" fillId="0" borderId="0" xfId="0"/>
    <xf numFmtId="0" fontId="0" fillId="3" borderId="1" xfId="0" applyFill="1" applyBorder="1"/>
    <xf numFmtId="0" fontId="0" fillId="3" borderId="3" xfId="0" applyFill="1" applyBorder="1" applyAlignment="1">
      <alignment textRotation="90"/>
    </xf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164" fontId="0" fillId="3" borderId="4" xfId="0" applyNumberFormat="1" applyFill="1" applyBorder="1" applyAlignment="1">
      <alignment textRotation="90"/>
    </xf>
    <xf numFmtId="164" fontId="0" fillId="3" borderId="7" xfId="0" applyNumberFormat="1" applyFill="1" applyBorder="1"/>
    <xf numFmtId="164" fontId="0" fillId="3" borderId="10" xfId="0" applyNumberFormat="1" applyFill="1" applyBorder="1"/>
    <xf numFmtId="164" fontId="0" fillId="3" borderId="13" xfId="0" applyNumberFormat="1" applyFill="1" applyBorder="1"/>
    <xf numFmtId="0" fontId="0" fillId="4" borderId="0" xfId="0" applyFill="1"/>
    <xf numFmtId="0" fontId="3" fillId="4" borderId="0" xfId="0" applyFont="1" applyFill="1"/>
    <xf numFmtId="0" fontId="0" fillId="3" borderId="2" xfId="0" applyFill="1" applyBorder="1" applyAlignment="1">
      <alignment textRotation="90"/>
    </xf>
    <xf numFmtId="0" fontId="0" fillId="3" borderId="4" xfId="0" applyFill="1" applyBorder="1" applyAlignment="1">
      <alignment textRotation="90"/>
    </xf>
    <xf numFmtId="0" fontId="0" fillId="3" borderId="5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3" xfId="0" applyFill="1" applyBorder="1"/>
    <xf numFmtId="0" fontId="0" fillId="5" borderId="3" xfId="0" applyFill="1" applyBorder="1" applyAlignment="1">
      <alignment textRotation="90"/>
    </xf>
    <xf numFmtId="0" fontId="0" fillId="5" borderId="6" xfId="0" applyFill="1" applyBorder="1"/>
    <xf numFmtId="0" fontId="0" fillId="5" borderId="9" xfId="0" applyFill="1" applyBorder="1"/>
    <xf numFmtId="0" fontId="0" fillId="5" borderId="12" xfId="0" applyFill="1" applyBorder="1"/>
    <xf numFmtId="0" fontId="0" fillId="5" borderId="1" xfId="0" applyFill="1" applyBorder="1"/>
    <xf numFmtId="9" fontId="0" fillId="4" borderId="0" xfId="1" applyFont="1" applyFill="1"/>
    <xf numFmtId="0" fontId="0" fillId="5" borderId="2" xfId="0" applyFill="1" applyBorder="1" applyAlignment="1">
      <alignment textRotation="90"/>
    </xf>
    <xf numFmtId="0" fontId="0" fillId="5" borderId="5" xfId="0" applyFill="1" applyBorder="1"/>
    <xf numFmtId="0" fontId="0" fillId="5" borderId="8" xfId="0" applyFill="1" applyBorder="1"/>
    <xf numFmtId="0" fontId="0" fillId="5" borderId="11" xfId="0" applyFill="1" applyBorder="1"/>
    <xf numFmtId="0" fontId="0" fillId="7" borderId="0" xfId="0" applyFill="1"/>
    <xf numFmtId="0" fontId="4" fillId="7" borderId="0" xfId="0" applyFont="1" applyFill="1"/>
    <xf numFmtId="0" fontId="4" fillId="7" borderId="13" xfId="0" applyFont="1" applyFill="1" applyBorder="1" applyAlignment="1">
      <alignment horizontal="center"/>
    </xf>
    <xf numFmtId="0" fontId="4" fillId="7" borderId="11" xfId="0" applyFont="1" applyFill="1" applyBorder="1" applyAlignment="1">
      <alignment horizontal="center"/>
    </xf>
    <xf numFmtId="0" fontId="8" fillId="4" borderId="0" xfId="0" applyFont="1" applyFill="1"/>
    <xf numFmtId="0" fontId="6" fillId="4" borderId="0" xfId="0" applyFont="1" applyFill="1"/>
    <xf numFmtId="0" fontId="0" fillId="7" borderId="0" xfId="0" applyFill="1" applyAlignment="1">
      <alignment horizontal="center"/>
    </xf>
    <xf numFmtId="164" fontId="0" fillId="4" borderId="0" xfId="2" applyNumberFormat="1" applyFont="1" applyFill="1"/>
    <xf numFmtId="0" fontId="0" fillId="8" borderId="3" xfId="0" applyFill="1" applyBorder="1" applyAlignment="1">
      <alignment textRotation="90"/>
    </xf>
    <xf numFmtId="0" fontId="0" fillId="8" borderId="6" xfId="0" applyFill="1" applyBorder="1"/>
    <xf numFmtId="0" fontId="0" fillId="8" borderId="9" xfId="0" applyFill="1" applyBorder="1"/>
    <xf numFmtId="0" fontId="0" fillId="8" borderId="12" xfId="0" applyFill="1" applyBorder="1"/>
    <xf numFmtId="14" fontId="0" fillId="8" borderId="6" xfId="0" applyNumberFormat="1" applyFill="1" applyBorder="1"/>
    <xf numFmtId="14" fontId="0" fillId="8" borderId="9" xfId="0" applyNumberFormat="1" applyFill="1" applyBorder="1"/>
    <xf numFmtId="14" fontId="0" fillId="8" borderId="12" xfId="0" applyNumberFormat="1" applyFill="1" applyBorder="1"/>
    <xf numFmtId="0" fontId="9" fillId="2" borderId="1" xfId="0" applyFont="1" applyFill="1" applyBorder="1" applyAlignment="1">
      <alignment textRotation="90"/>
    </xf>
    <xf numFmtId="0" fontId="9" fillId="6" borderId="1" xfId="0" applyFont="1" applyFill="1" applyBorder="1" applyAlignment="1">
      <alignment textRotation="90"/>
    </xf>
    <xf numFmtId="0" fontId="0" fillId="9" borderId="0" xfId="0" applyFill="1"/>
    <xf numFmtId="0" fontId="0" fillId="7" borderId="9" xfId="0" applyFill="1" applyBorder="1"/>
    <xf numFmtId="0" fontId="13" fillId="7" borderId="9" xfId="0" applyFont="1" applyFill="1" applyBorder="1" applyAlignment="1">
      <alignment horizontal="center"/>
    </xf>
    <xf numFmtId="165" fontId="4" fillId="7" borderId="9" xfId="0" applyNumberFormat="1" applyFont="1" applyFill="1" applyBorder="1"/>
    <xf numFmtId="0" fontId="4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0" fillId="4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4" fillId="7" borderId="0" xfId="0" applyFont="1" applyFill="1" applyAlignment="1">
      <alignment horizontal="center"/>
    </xf>
    <xf numFmtId="0" fontId="4" fillId="7" borderId="10" xfId="0" applyFont="1" applyFill="1" applyBorder="1" applyAlignment="1">
      <alignment horizontal="center"/>
    </xf>
    <xf numFmtId="0" fontId="4" fillId="7" borderId="14" xfId="0" applyFont="1" applyFill="1" applyBorder="1" applyAlignment="1">
      <alignment horizontal="center"/>
    </xf>
    <xf numFmtId="0" fontId="4" fillId="7" borderId="8" xfId="0" applyFont="1" applyFill="1" applyBorder="1" applyAlignment="1">
      <alignment horizontal="center"/>
    </xf>
    <xf numFmtId="14" fontId="0" fillId="7" borderId="0" xfId="0" applyNumberFormat="1" applyFill="1" applyAlignment="1">
      <alignment horizontal="center"/>
    </xf>
    <xf numFmtId="165" fontId="4" fillId="7" borderId="10" xfId="0" applyNumberFormat="1" applyFont="1" applyFill="1" applyBorder="1" applyAlignment="1">
      <alignment horizontal="center"/>
    </xf>
    <xf numFmtId="165" fontId="4" fillId="7" borderId="8" xfId="0" applyNumberFormat="1" applyFont="1" applyFill="1" applyBorder="1" applyAlignment="1">
      <alignment horizontal="center"/>
    </xf>
    <xf numFmtId="165" fontId="4" fillId="7" borderId="10" xfId="2" applyNumberFormat="1" applyFont="1" applyFill="1" applyBorder="1" applyAlignment="1">
      <alignment horizontal="center"/>
    </xf>
    <xf numFmtId="165" fontId="4" fillId="7" borderId="8" xfId="2" applyNumberFormat="1" applyFont="1" applyFill="1" applyBorder="1" applyAlignment="1">
      <alignment horizontal="center"/>
    </xf>
  </cellXfs>
  <cellStyles count="3">
    <cellStyle name="Currency" xfId="2" builtinId="4"/>
    <cellStyle name="Normal" xfId="0" builtinId="0"/>
    <cellStyle name="Percent" xfId="1" builtinId="5"/>
  </cellStyles>
  <dxfs count="26">
    <dxf>
      <numFmt numFmtId="164" formatCode="_-[$£-809]* #,##0.00_-;\-[$£-809]* #,##0.00_-;_-[$£-809]* &quot;-&quot;??_-;_-@_-"/>
      <fill>
        <patternFill patternType="solid">
          <fgColor theme="0"/>
          <bgColor theme="5" tint="0.39997558519241921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solid">
          <fgColor theme="0"/>
          <bgColor theme="5" tint="-0.2499465926084170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solid">
          <fgColor theme="0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theme="0"/>
          <bgColor theme="5" tint="-0.2499465926084170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theme="0"/>
          <bgColor theme="5" tint="0.39997558519241921"/>
        </patternFill>
      </fill>
    </dxf>
    <dxf>
      <fill>
        <patternFill patternType="solid">
          <fgColor theme="0"/>
          <bgColor theme="5" tint="0.39997558519241921"/>
        </patternFill>
      </fill>
      <alignment horizontal="general" vertical="bottom" textRotation="90" wrapText="0" indent="0" justifyLastLine="0" shrinkToFit="0" readingOrder="0"/>
    </dxf>
    <dxf>
      <fill>
        <patternFill patternType="solid">
          <fgColor theme="0"/>
          <bgColor theme="5" tint="-0.249977111117893"/>
        </patternFill>
      </fill>
    </dxf>
    <dxf>
      <fill>
        <patternFill patternType="solid">
          <fgColor theme="0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d/mm/yyyy"/>
      <fill>
        <patternFill patternType="solid">
          <fgColor theme="0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theme="0"/>
          <bgColor theme="5" tint="0.39997558519241921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solid">
          <fgColor theme="0"/>
          <bgColor theme="5" tint="-0.2499465926084170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theme="0"/>
          <bgColor theme="5" tint="0.39997558519241921"/>
        </patternFill>
      </fill>
    </dxf>
    <dxf>
      <fill>
        <patternFill patternType="solid">
          <fgColor theme="0"/>
          <bgColor theme="5" tint="0.39997558519241921"/>
        </patternFill>
      </fill>
      <alignment horizontal="general" vertical="bottom" textRotation="90" wrapText="0" indent="0" justifyLastLine="0" shrinkToFit="0" readingOrder="0"/>
    </dxf>
    <dxf>
      <numFmt numFmtId="0" formatCode="General"/>
      <fill>
        <patternFill patternType="solid">
          <fgColor theme="0"/>
          <bgColor theme="5" tint="0.39997558519241921"/>
        </patternFill>
      </fill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-0.24994659260841701"/>
        </patternFill>
      </fill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0.39997558519241921"/>
        </patternFill>
      </fill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-0.24994659260841701"/>
        </patternFill>
      </fill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0.39997558519241921"/>
        </patternFill>
      </fill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-0.24994659260841701"/>
        </patternFill>
      </fill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0.39997558519241921"/>
        </patternFill>
      </fill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-0.24994659260841701"/>
        </patternFill>
      </fill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0.39997558519241921"/>
        </patternFill>
      </fill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0.39997558519241921"/>
        </patternFill>
      </fill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fill>
        <patternFill patternType="solid">
          <fgColor theme="0"/>
          <bgColor theme="5" tint="0.39997558519241921"/>
        </patternFill>
      </fill>
    </dxf>
    <dxf>
      <border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5" tint="-0.24994659260841701"/>
          <bgColor theme="5" tint="0.39997558519241921"/>
        </patternFill>
      </fill>
      <alignment horizontal="general" vertical="bottom" textRotation="9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/>
        <bottom/>
      </border>
    </dxf>
  </dxfs>
  <tableStyles count="0" defaultTableStyle="TableStyleMedium2" defaultPivotStyle="PivotStyleLight16"/>
  <colors>
    <mruColors>
      <color rgb="FF94410E"/>
      <color rgb="FFEBAA63"/>
      <color rgb="FF9A430E"/>
      <color rgb="FF7E370C"/>
      <color rgb="FF7A360C"/>
      <color rgb="FF96420E"/>
      <color rgb="FF77340B"/>
      <color rgb="FF6A2F0A"/>
      <color rgb="FF913F0D"/>
      <color rgb="FFC8B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1</xdr:row>
          <xdr:rowOff>142875</xdr:rowOff>
        </xdr:from>
        <xdr:to>
          <xdr:col>21</xdr:col>
          <xdr:colOff>371475</xdr:colOff>
          <xdr:row>8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485775</xdr:rowOff>
        </xdr:from>
        <xdr:to>
          <xdr:col>21</xdr:col>
          <xdr:colOff>400050</xdr:colOff>
          <xdr:row>1</xdr:row>
          <xdr:rowOff>114300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Customers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0</xdr:rowOff>
        </xdr:from>
        <xdr:to>
          <xdr:col>12</xdr:col>
          <xdr:colOff>133350</xdr:colOff>
          <xdr:row>7</xdr:row>
          <xdr:rowOff>9525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Orders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19050</xdr:rowOff>
        </xdr:from>
        <xdr:to>
          <xdr:col>12</xdr:col>
          <xdr:colOff>142875</xdr:colOff>
          <xdr:row>0</xdr:row>
          <xdr:rowOff>1152525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GB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4943475</xdr:colOff>
      <xdr:row>17</xdr:row>
      <xdr:rowOff>128587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458200" y="33670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0</xdr:row>
          <xdr:rowOff>838200</xdr:rowOff>
        </xdr:from>
        <xdr:to>
          <xdr:col>15</xdr:col>
          <xdr:colOff>95250</xdr:colOff>
          <xdr:row>7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7</xdr:row>
          <xdr:rowOff>95250</xdr:rowOff>
        </xdr:from>
        <xdr:to>
          <xdr:col>15</xdr:col>
          <xdr:colOff>104775</xdr:colOff>
          <xdr:row>16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2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8</xdr:row>
          <xdr:rowOff>66675</xdr:rowOff>
        </xdr:from>
        <xdr:to>
          <xdr:col>6</xdr:col>
          <xdr:colOff>552450</xdr:colOff>
          <xdr:row>17</xdr:row>
          <xdr:rowOff>47625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6</xdr:col>
          <xdr:colOff>561975</xdr:colOff>
          <xdr:row>8</xdr:row>
          <xdr:rowOff>95250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</xdr:row>
          <xdr:rowOff>38100</xdr:rowOff>
        </xdr:from>
        <xdr:to>
          <xdr:col>6</xdr:col>
          <xdr:colOff>552450</xdr:colOff>
          <xdr:row>25</xdr:row>
          <xdr:rowOff>47625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25</xdr:row>
          <xdr:rowOff>28575</xdr:rowOff>
        </xdr:from>
        <xdr:to>
          <xdr:col>6</xdr:col>
          <xdr:colOff>542925</xdr:colOff>
          <xdr:row>34</xdr:row>
          <xdr:rowOff>38100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Invoice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152399</xdr:colOff>
      <xdr:row>10</xdr:row>
      <xdr:rowOff>133350</xdr:rowOff>
    </xdr:from>
    <xdr:to>
      <xdr:col>19</xdr:col>
      <xdr:colOff>352424</xdr:colOff>
      <xdr:row>36</xdr:row>
      <xdr:rowOff>56540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48399" y="2085975"/>
          <a:ext cx="5686425" cy="487619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16</xdr:row>
      <xdr:rowOff>142874</xdr:rowOff>
    </xdr:from>
    <xdr:to>
      <xdr:col>9</xdr:col>
      <xdr:colOff>57150</xdr:colOff>
      <xdr:row>20</xdr:row>
      <xdr:rowOff>19049</xdr:rowOff>
    </xdr:to>
    <xdr:sp macro="" textlink="">
      <xdr:nvSpPr>
        <xdr:cNvPr id="2059" name="Text Box 11">
          <a:extLst>
            <a:ext uri="{FF2B5EF4-FFF2-40B4-BE49-F238E27FC236}">
              <a16:creationId xmlns:a16="http://schemas.microsoft.com/office/drawing/2014/main" id="{00000000-0008-0000-0300-00000B080000}"/>
            </a:ext>
          </a:extLst>
        </xdr:cNvPr>
        <xdr:cNvSpPr txBox="1">
          <a:spLocks noChangeArrowheads="1"/>
        </xdr:cNvSpPr>
      </xdr:nvSpPr>
      <xdr:spPr bwMode="auto">
        <a:xfrm>
          <a:off x="4876800" y="3238499"/>
          <a:ext cx="666750" cy="638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Address_1</a:t>
          </a:r>
        </a:p>
        <a:p>
          <a:pPr algn="l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3 Market 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447675</xdr:colOff>
          <xdr:row>1</xdr:row>
          <xdr:rowOff>76200</xdr:rowOff>
        </xdr:from>
        <xdr:to>
          <xdr:col>28</xdr:col>
          <xdr:colOff>485775</xdr:colOff>
          <xdr:row>5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552450</xdr:colOff>
          <xdr:row>6</xdr:row>
          <xdr:rowOff>85725</xdr:rowOff>
        </xdr:from>
        <xdr:to>
          <xdr:col>27</xdr:col>
          <xdr:colOff>438150</xdr:colOff>
          <xdr:row>11</xdr:row>
          <xdr:rowOff>9525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23</xdr:row>
          <xdr:rowOff>228600</xdr:rowOff>
        </xdr:from>
        <xdr:to>
          <xdr:col>3</xdr:col>
          <xdr:colOff>409575</xdr:colOff>
          <xdr:row>26</xdr:row>
          <xdr:rowOff>247650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4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504825</xdr:colOff>
          <xdr:row>23</xdr:row>
          <xdr:rowOff>276225</xdr:rowOff>
        </xdr:from>
        <xdr:to>
          <xdr:col>7</xdr:col>
          <xdr:colOff>276225</xdr:colOff>
          <xdr:row>26</xdr:row>
          <xdr:rowOff>257175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4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GB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Invoice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224901</xdr:colOff>
      <xdr:row>7</xdr:row>
      <xdr:rowOff>115955</xdr:rowOff>
    </xdr:from>
    <xdr:to>
      <xdr:col>14</xdr:col>
      <xdr:colOff>634033</xdr:colOff>
      <xdr:row>17</xdr:row>
      <xdr:rowOff>138536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5814" y="1623390"/>
          <a:ext cx="2247871" cy="1927581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563F708-A0DC-4709-8FC1-1307B4921FC4}" autoFormatId="16" applyNumberFormats="0" applyBorderFormats="0" applyFontFormats="0" applyPatternFormats="0" applyAlignmentFormats="0" applyWidthHeightFormats="0">
  <queryTableRefresh nextId="11">
    <queryTableFields count="1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A57813CA-94D6-462A-AF62-28B8ADAD709E}" autoFormatId="16" applyNumberFormats="0" applyBorderFormats="0" applyFontFormats="0" applyPatternFormats="0" applyAlignmentFormats="0" applyWidthHeightFormats="0">
  <queryTableRefresh nextId="8" unboundColumnsRight="1">
    <queryTableFields count="5">
      <queryTableField id="2" name="Customer_ID" tableColumnId="2"/>
      <queryTableField id="1" name="Order Number" tableColumnId="1"/>
      <queryTableField id="3" name="Date_of_Order" tableColumnId="3"/>
      <queryTableField id="5" name="Quantity_Ordered" tableColumnId="5"/>
      <queryTableField id="7" dataBound="0" tableColumnId="6"/>
    </queryTableFields>
    <queryTableDeletedFields count="1">
      <deletedField name="Product_ID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F3684233-84FA-407D-8B47-013A8CD13DE2}" autoFormatId="16" applyNumberFormats="0" applyBorderFormats="0" applyFontFormats="0" applyPatternFormats="0" applyAlignmentFormats="0" applyWidthHeightFormats="0">
  <queryTableRefresh nextId="5">
    <queryTableFields count="4">
      <queryTableField id="1" name="Product_ID" tableColumnId="1"/>
      <queryTableField id="2" name="Product_Name" tableColumnId="2"/>
      <queryTableField id="3" name="Product_Description" tableColumnId="3"/>
      <queryTableField id="4" name="Product_Cost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B62A4D3-09BE-48A8-B96C-E2E66FB58F33}" name="Customers" displayName="Customers" ref="A1:J31" tableType="queryTable" totalsRowShown="0" headerRowDxfId="25" dataDxfId="23" headerRowBorderDxfId="24">
  <tableColumns count="10">
    <tableColumn id="1" xr3:uid="{D9FE75EA-D29C-4D72-B122-D7F4BF974828}" uniqueName="1" name="Column1" queryTableFieldId="1" dataDxfId="22"/>
    <tableColumn id="2" xr3:uid="{1D011068-B50A-4AF4-90A5-44EB09590F01}" uniqueName="2" name="Title" queryTableFieldId="2" dataDxfId="21"/>
    <tableColumn id="3" xr3:uid="{A66FF012-A7BC-4453-B5D0-11EA39052007}" uniqueName="3" name="Firstname" queryTableFieldId="3" dataDxfId="20"/>
    <tableColumn id="4" xr3:uid="{436890A9-2AF4-483D-AE83-BC7F4EAA9FC2}" uniqueName="4" name="surname" queryTableFieldId="4" dataDxfId="19"/>
    <tableColumn id="5" xr3:uid="{E0D26FBF-DA64-4162-994D-D2A7351ECBA0}" uniqueName="5" name="address_1" queryTableFieldId="5" dataDxfId="18"/>
    <tableColumn id="6" xr3:uid="{BC1E2EEB-0978-4EAD-B615-8943F4127D4E}" uniqueName="6" name="Address_2" queryTableFieldId="6" dataDxfId="17"/>
    <tableColumn id="7" xr3:uid="{4E2B9505-A025-4DD7-9251-B5E1CAC0D2A1}" uniqueName="7" name="Town" queryTableFieldId="7" dataDxfId="16"/>
    <tableColumn id="8" xr3:uid="{1157FB08-F476-42A9-AE78-99F8A5AE9AB4}" uniqueName="8" name="county" queryTableFieldId="8" dataDxfId="15"/>
    <tableColumn id="9" xr3:uid="{7FD11FC4-3F83-4DCA-A102-8DB7C6C873C1}" uniqueName="9" name="Postcode" queryTableFieldId="9" dataDxfId="14"/>
    <tableColumn id="10" xr3:uid="{357C211C-C000-4253-897F-E922E3CDA994}" uniqueName="10" name="Contact_telephone_number" queryTableFieldId="10" dataDxfId="1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7A508CE-BC4F-4D38-B7DD-11528402510C}" name="Orders2" displayName="Orders2" ref="A1:E76" tableType="queryTable" totalsRowShown="0" headerRowDxfId="12" dataDxfId="11">
  <tableColumns count="5">
    <tableColumn id="2" xr3:uid="{906CECDF-72D3-4E70-A66A-26FFCA97A65E}" uniqueName="2" name="Customer_ID" queryTableFieldId="2" dataDxfId="10"/>
    <tableColumn id="1" xr3:uid="{77192D64-4E60-4D35-95A7-61463F2F12ED}" uniqueName="1" name="Order Number" queryTableFieldId="1" dataDxfId="9"/>
    <tableColumn id="3" xr3:uid="{82752B57-D53B-4817-A1A4-C82C49E7A62C}" uniqueName="3" name="Date_of_Order" queryTableFieldId="3" dataDxfId="8"/>
    <tableColumn id="5" xr3:uid="{88E083E0-D553-46CD-8BF3-C03A94E327B1}" uniqueName="5" name="Quantity_Ordered" queryTableFieldId="5" dataDxfId="7"/>
    <tableColumn id="6" xr3:uid="{E1A0A263-1969-4D7A-BE47-6C62E31ADB6E}" uniqueName="6" name="Product_ID" queryTableFieldId="7" dataDxf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70344F-F2A2-46F4-9BF7-6C88DB5FFBC9}" name="Products" displayName="Products" ref="A1:D8" tableType="queryTable" totalsRowShown="0" headerRowDxfId="5" dataDxfId="4">
  <tableColumns count="4">
    <tableColumn id="1" xr3:uid="{C168E3F7-700E-41CF-8B66-C8BB75CDA43C}" uniqueName="1" name="Product_ID" queryTableFieldId="1" dataDxfId="3"/>
    <tableColumn id="2" xr3:uid="{F626BF57-BAAA-4CC5-907C-AEBA28146AF3}" uniqueName="2" name="Product_Name" queryTableFieldId="2" dataDxfId="2"/>
    <tableColumn id="3" xr3:uid="{9AFAA822-8EFF-4502-AE19-C38173A17BC3}" uniqueName="3" name="Product_Description" queryTableFieldId="3" dataDxfId="1"/>
    <tableColumn id="4" xr3:uid="{D8C478E0-2F29-42CB-B61C-A562A562D7C3}" uniqueName="4" name="Product_Cost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3A39E-181F-4F6C-BEAF-A3128C8C3BC6}">
  <sheetPr codeName="Sheet2"/>
  <dimension ref="A1:N32"/>
  <sheetViews>
    <sheetView workbookViewId="0">
      <selection activeCell="S15" sqref="S15"/>
    </sheetView>
  </sheetViews>
  <sheetFormatPr defaultRowHeight="15" x14ac:dyDescent="0.25"/>
  <cols>
    <col min="1" max="1" width="12.42578125" style="10" bestFit="1" customWidth="1"/>
    <col min="2" max="2" width="11.140625" style="10" bestFit="1" customWidth="1"/>
    <col min="3" max="3" width="11.42578125" style="10" bestFit="1" customWidth="1"/>
    <col min="4" max="4" width="11.140625" style="10" bestFit="1" customWidth="1"/>
    <col min="5" max="5" width="14.28515625" style="10" bestFit="1" customWidth="1"/>
    <col min="6" max="6" width="11.140625" style="10" bestFit="1" customWidth="1"/>
    <col min="7" max="7" width="14.7109375" style="10" bestFit="1" customWidth="1"/>
    <col min="8" max="8" width="18.85546875" style="10" bestFit="1" customWidth="1"/>
    <col min="9" max="9" width="11.140625" style="10" bestFit="1" customWidth="1"/>
    <col min="10" max="10" width="26.5703125" style="10" bestFit="1" customWidth="1"/>
    <col min="11" max="16384" width="9.140625" style="10"/>
  </cols>
  <sheetData>
    <row r="1" spans="1:10" ht="141" thickTop="1" thickBot="1" x14ac:dyDescent="0.3">
      <c r="A1" s="45" t="s">
        <v>0</v>
      </c>
      <c r="B1" s="45" t="s">
        <v>2</v>
      </c>
      <c r="C1" s="46" t="s">
        <v>3</v>
      </c>
      <c r="D1" s="45" t="s">
        <v>287</v>
      </c>
      <c r="E1" s="46" t="s">
        <v>288</v>
      </c>
      <c r="F1" s="45" t="s">
        <v>289</v>
      </c>
      <c r="G1" s="46" t="s">
        <v>4</v>
      </c>
      <c r="H1" s="45" t="s">
        <v>290</v>
      </c>
      <c r="I1" s="46" t="s">
        <v>6</v>
      </c>
      <c r="J1" s="45" t="s">
        <v>7</v>
      </c>
    </row>
    <row r="2" spans="1:10" ht="16.5" thickTop="1" thickBot="1" x14ac:dyDescent="0.3">
      <c r="A2" s="1" t="s">
        <v>8</v>
      </c>
      <c r="B2" s="1" t="s">
        <v>9</v>
      </c>
      <c r="C2" s="24" t="s">
        <v>10</v>
      </c>
      <c r="D2" s="1" t="s">
        <v>11</v>
      </c>
      <c r="E2" s="24" t="s">
        <v>12</v>
      </c>
      <c r="F2" s="1" t="s">
        <v>13</v>
      </c>
      <c r="G2" s="24" t="s">
        <v>14</v>
      </c>
      <c r="H2" s="1" t="s">
        <v>15</v>
      </c>
      <c r="I2" s="24" t="s">
        <v>16</v>
      </c>
      <c r="J2" s="1" t="s">
        <v>17</v>
      </c>
    </row>
    <row r="3" spans="1:10" ht="16.5" thickTop="1" thickBot="1" x14ac:dyDescent="0.3">
      <c r="A3" s="1" t="s">
        <v>18</v>
      </c>
      <c r="B3" s="1" t="s">
        <v>19</v>
      </c>
      <c r="C3" s="24" t="s">
        <v>20</v>
      </c>
      <c r="D3" s="1" t="s">
        <v>21</v>
      </c>
      <c r="E3" s="24" t="s">
        <v>22</v>
      </c>
      <c r="F3" s="1" t="s">
        <v>23</v>
      </c>
      <c r="G3" s="24" t="s">
        <v>24</v>
      </c>
      <c r="H3" s="1" t="s">
        <v>25</v>
      </c>
      <c r="I3" s="24" t="s">
        <v>26</v>
      </c>
      <c r="J3" s="1" t="s">
        <v>27</v>
      </c>
    </row>
    <row r="4" spans="1:10" ht="16.5" thickTop="1" thickBot="1" x14ac:dyDescent="0.3">
      <c r="A4" s="1" t="s">
        <v>28</v>
      </c>
      <c r="B4" s="1" t="s">
        <v>29</v>
      </c>
      <c r="C4" s="24" t="s">
        <v>30</v>
      </c>
      <c r="D4" s="1" t="s">
        <v>31</v>
      </c>
      <c r="E4" s="24" t="s">
        <v>32</v>
      </c>
      <c r="F4" s="1" t="s">
        <v>33</v>
      </c>
      <c r="G4" s="24" t="s">
        <v>34</v>
      </c>
      <c r="H4" s="1" t="s">
        <v>35</v>
      </c>
      <c r="I4" s="24" t="s">
        <v>36</v>
      </c>
      <c r="J4" s="1" t="s">
        <v>37</v>
      </c>
    </row>
    <row r="5" spans="1:10" ht="16.5" thickTop="1" thickBot="1" x14ac:dyDescent="0.3">
      <c r="A5" s="1" t="s">
        <v>38</v>
      </c>
      <c r="B5" s="1" t="s">
        <v>9</v>
      </c>
      <c r="C5" s="24" t="s">
        <v>39</v>
      </c>
      <c r="D5" s="1" t="s">
        <v>40</v>
      </c>
      <c r="E5" s="24" t="s">
        <v>41</v>
      </c>
      <c r="F5" s="1" t="s">
        <v>42</v>
      </c>
      <c r="G5" s="24" t="s">
        <v>43</v>
      </c>
      <c r="H5" s="1" t="s">
        <v>43</v>
      </c>
      <c r="I5" s="24" t="s">
        <v>44</v>
      </c>
      <c r="J5" s="1" t="s">
        <v>45</v>
      </c>
    </row>
    <row r="6" spans="1:10" ht="16.5" thickTop="1" thickBot="1" x14ac:dyDescent="0.3">
      <c r="A6" s="1" t="s">
        <v>46</v>
      </c>
      <c r="B6" s="1" t="s">
        <v>19</v>
      </c>
      <c r="C6" s="24" t="s">
        <v>47</v>
      </c>
      <c r="D6" s="1" t="s">
        <v>48</v>
      </c>
      <c r="E6" s="24" t="s">
        <v>49</v>
      </c>
      <c r="F6" s="1" t="s">
        <v>50</v>
      </c>
      <c r="G6" s="24" t="s">
        <v>51</v>
      </c>
      <c r="H6" s="1" t="s">
        <v>52</v>
      </c>
      <c r="I6" s="24" t="s">
        <v>53</v>
      </c>
      <c r="J6" s="1" t="s">
        <v>54</v>
      </c>
    </row>
    <row r="7" spans="1:10" ht="16.5" thickTop="1" thickBot="1" x14ac:dyDescent="0.3">
      <c r="A7" s="1" t="s">
        <v>55</v>
      </c>
      <c r="B7" s="1" t="s">
        <v>29</v>
      </c>
      <c r="C7" s="24" t="s">
        <v>56</v>
      </c>
      <c r="D7" s="1" t="s">
        <v>57</v>
      </c>
      <c r="E7" s="24" t="s">
        <v>58</v>
      </c>
      <c r="F7" s="1" t="s">
        <v>13</v>
      </c>
      <c r="G7" s="24" t="s">
        <v>59</v>
      </c>
      <c r="H7" s="1" t="s">
        <v>60</v>
      </c>
      <c r="I7" s="24" t="s">
        <v>61</v>
      </c>
      <c r="J7" s="1" t="s">
        <v>62</v>
      </c>
    </row>
    <row r="8" spans="1:10" ht="16.5" thickTop="1" thickBot="1" x14ac:dyDescent="0.3">
      <c r="A8" s="1" t="s">
        <v>63</v>
      </c>
      <c r="B8" s="1" t="s">
        <v>9</v>
      </c>
      <c r="C8" s="24" t="s">
        <v>64</v>
      </c>
      <c r="D8" s="1" t="s">
        <v>65</v>
      </c>
      <c r="E8" s="24" t="s">
        <v>66</v>
      </c>
      <c r="F8" s="1" t="s">
        <v>67</v>
      </c>
      <c r="G8" s="24" t="s">
        <v>68</v>
      </c>
      <c r="H8" s="1" t="s">
        <v>69</v>
      </c>
      <c r="I8" s="24" t="s">
        <v>70</v>
      </c>
      <c r="J8" s="1" t="s">
        <v>71</v>
      </c>
    </row>
    <row r="9" spans="1:10" ht="16.5" thickTop="1" thickBot="1" x14ac:dyDescent="0.3">
      <c r="A9" s="1" t="s">
        <v>72</v>
      </c>
      <c r="B9" s="1" t="s">
        <v>19</v>
      </c>
      <c r="C9" s="24" t="s">
        <v>30</v>
      </c>
      <c r="D9" s="1" t="s">
        <v>73</v>
      </c>
      <c r="E9" s="24" t="s">
        <v>74</v>
      </c>
      <c r="F9" s="1" t="s">
        <v>75</v>
      </c>
      <c r="G9" s="24" t="s">
        <v>76</v>
      </c>
      <c r="H9" s="1" t="s">
        <v>77</v>
      </c>
      <c r="I9" s="24" t="s">
        <v>78</v>
      </c>
      <c r="J9" s="1" t="s">
        <v>79</v>
      </c>
    </row>
    <row r="10" spans="1:10" ht="16.5" thickTop="1" thickBot="1" x14ac:dyDescent="0.3">
      <c r="A10" s="1" t="s">
        <v>80</v>
      </c>
      <c r="B10" s="1" t="s">
        <v>29</v>
      </c>
      <c r="C10" s="24" t="s">
        <v>81</v>
      </c>
      <c r="D10" s="1" t="s">
        <v>82</v>
      </c>
      <c r="E10" s="24" t="s">
        <v>83</v>
      </c>
      <c r="F10" s="1" t="s">
        <v>13</v>
      </c>
      <c r="G10" s="24" t="s">
        <v>84</v>
      </c>
      <c r="H10" s="1" t="s">
        <v>84</v>
      </c>
      <c r="I10" s="24" t="s">
        <v>85</v>
      </c>
      <c r="J10" s="1" t="s">
        <v>86</v>
      </c>
    </row>
    <row r="11" spans="1:10" ht="16.5" thickTop="1" thickBot="1" x14ac:dyDescent="0.3">
      <c r="A11" s="1" t="s">
        <v>87</v>
      </c>
      <c r="B11" s="1" t="s">
        <v>88</v>
      </c>
      <c r="C11" s="24" t="s">
        <v>89</v>
      </c>
      <c r="D11" s="1" t="s">
        <v>90</v>
      </c>
      <c r="E11" s="24" t="s">
        <v>91</v>
      </c>
      <c r="F11" s="1" t="s">
        <v>92</v>
      </c>
      <c r="G11" s="24" t="s">
        <v>93</v>
      </c>
      <c r="H11" s="1" t="s">
        <v>94</v>
      </c>
      <c r="I11" s="24" t="s">
        <v>95</v>
      </c>
      <c r="J11" s="1" t="s">
        <v>96</v>
      </c>
    </row>
    <row r="12" spans="1:10" ht="16.5" thickTop="1" thickBot="1" x14ac:dyDescent="0.3">
      <c r="A12" s="1" t="s">
        <v>97</v>
      </c>
      <c r="B12" s="1" t="s">
        <v>19</v>
      </c>
      <c r="C12" s="24" t="s">
        <v>30</v>
      </c>
      <c r="D12" s="1" t="s">
        <v>98</v>
      </c>
      <c r="E12" s="24" t="s">
        <v>99</v>
      </c>
      <c r="F12" s="1" t="s">
        <v>100</v>
      </c>
      <c r="G12" s="24" t="s">
        <v>101</v>
      </c>
      <c r="H12" s="1" t="s">
        <v>102</v>
      </c>
      <c r="I12" s="24" t="s">
        <v>103</v>
      </c>
      <c r="J12" s="1" t="s">
        <v>104</v>
      </c>
    </row>
    <row r="13" spans="1:10" ht="16.5" thickTop="1" thickBot="1" x14ac:dyDescent="0.3">
      <c r="A13" s="1" t="s">
        <v>105</v>
      </c>
      <c r="B13" s="1" t="s">
        <v>29</v>
      </c>
      <c r="C13" s="24" t="s">
        <v>106</v>
      </c>
      <c r="D13" s="1" t="s">
        <v>107</v>
      </c>
      <c r="E13" s="24" t="s">
        <v>108</v>
      </c>
      <c r="F13" s="1" t="s">
        <v>109</v>
      </c>
      <c r="G13" s="24" t="s">
        <v>110</v>
      </c>
      <c r="H13" s="1" t="s">
        <v>111</v>
      </c>
      <c r="I13" s="24" t="s">
        <v>112</v>
      </c>
      <c r="J13" s="1" t="s">
        <v>113</v>
      </c>
    </row>
    <row r="14" spans="1:10" ht="16.5" thickTop="1" thickBot="1" x14ac:dyDescent="0.3">
      <c r="A14" s="1" t="s">
        <v>114</v>
      </c>
      <c r="B14" s="1" t="s">
        <v>9</v>
      </c>
      <c r="C14" s="24" t="s">
        <v>115</v>
      </c>
      <c r="D14" s="1" t="s">
        <v>116</v>
      </c>
      <c r="E14" s="24" t="s">
        <v>117</v>
      </c>
      <c r="F14" s="1" t="s">
        <v>118</v>
      </c>
      <c r="G14" s="24" t="s">
        <v>119</v>
      </c>
      <c r="H14" s="1" t="s">
        <v>120</v>
      </c>
      <c r="I14" s="24" t="s">
        <v>121</v>
      </c>
      <c r="J14" s="1" t="s">
        <v>122</v>
      </c>
    </row>
    <row r="15" spans="1:10" ht="16.5" thickTop="1" thickBot="1" x14ac:dyDescent="0.3">
      <c r="A15" s="1" t="s">
        <v>123</v>
      </c>
      <c r="B15" s="1" t="s">
        <v>19</v>
      </c>
      <c r="C15" s="24" t="s">
        <v>124</v>
      </c>
      <c r="D15" s="1" t="s">
        <v>125</v>
      </c>
      <c r="E15" s="24" t="s">
        <v>126</v>
      </c>
      <c r="F15" s="1" t="s">
        <v>127</v>
      </c>
      <c r="G15" s="24" t="s">
        <v>128</v>
      </c>
      <c r="H15" s="1" t="s">
        <v>128</v>
      </c>
      <c r="I15" s="24" t="s">
        <v>129</v>
      </c>
      <c r="J15" s="1" t="s">
        <v>130</v>
      </c>
    </row>
    <row r="16" spans="1:10" ht="16.5" thickTop="1" thickBot="1" x14ac:dyDescent="0.3">
      <c r="A16" s="1" t="s">
        <v>131</v>
      </c>
      <c r="B16" s="1" t="s">
        <v>29</v>
      </c>
      <c r="C16" s="24" t="s">
        <v>132</v>
      </c>
      <c r="D16" s="1" t="s">
        <v>133</v>
      </c>
      <c r="E16" s="24" t="s">
        <v>134</v>
      </c>
      <c r="F16" s="1" t="s">
        <v>13</v>
      </c>
      <c r="G16" s="24" t="s">
        <v>135</v>
      </c>
      <c r="H16" s="1" t="s">
        <v>135</v>
      </c>
      <c r="I16" s="24" t="s">
        <v>136</v>
      </c>
      <c r="J16" s="1" t="s">
        <v>137</v>
      </c>
    </row>
    <row r="17" spans="1:14" ht="16.5" thickTop="1" thickBot="1" x14ac:dyDescent="0.3">
      <c r="A17" s="1" t="s">
        <v>138</v>
      </c>
      <c r="B17" s="1" t="s">
        <v>9</v>
      </c>
      <c r="C17" s="24" t="s">
        <v>139</v>
      </c>
      <c r="D17" s="1" t="s">
        <v>140</v>
      </c>
      <c r="E17" s="24" t="s">
        <v>141</v>
      </c>
      <c r="F17" s="1" t="s">
        <v>67</v>
      </c>
      <c r="G17" s="24" t="s">
        <v>142</v>
      </c>
      <c r="H17" s="1" t="s">
        <v>142</v>
      </c>
      <c r="I17" s="24" t="s">
        <v>143</v>
      </c>
      <c r="J17" s="1" t="s">
        <v>144</v>
      </c>
    </row>
    <row r="18" spans="1:14" ht="16.5" thickTop="1" thickBot="1" x14ac:dyDescent="0.3">
      <c r="A18" s="1" t="s">
        <v>145</v>
      </c>
      <c r="B18" s="1" t="s">
        <v>19</v>
      </c>
      <c r="C18" s="24" t="s">
        <v>146</v>
      </c>
      <c r="D18" s="1" t="s">
        <v>147</v>
      </c>
      <c r="E18" s="24" t="s">
        <v>148</v>
      </c>
      <c r="F18" s="1" t="s">
        <v>75</v>
      </c>
      <c r="G18" s="24" t="s">
        <v>149</v>
      </c>
      <c r="H18" s="1" t="s">
        <v>150</v>
      </c>
      <c r="I18" s="24" t="s">
        <v>151</v>
      </c>
      <c r="J18" s="1" t="s">
        <v>152</v>
      </c>
    </row>
    <row r="19" spans="1:14" ht="16.5" thickTop="1" thickBot="1" x14ac:dyDescent="0.3">
      <c r="A19" s="1" t="s">
        <v>153</v>
      </c>
      <c r="B19" s="1" t="s">
        <v>154</v>
      </c>
      <c r="C19" s="24" t="s">
        <v>155</v>
      </c>
      <c r="D19" s="1" t="s">
        <v>156</v>
      </c>
      <c r="E19" s="24" t="s">
        <v>157</v>
      </c>
      <c r="F19" s="1" t="s">
        <v>158</v>
      </c>
      <c r="G19" s="24" t="s">
        <v>159</v>
      </c>
      <c r="H19" s="1" t="s">
        <v>150</v>
      </c>
      <c r="I19" s="24" t="s">
        <v>160</v>
      </c>
      <c r="J19" s="1" t="s">
        <v>161</v>
      </c>
    </row>
    <row r="20" spans="1:14" ht="16.5" thickTop="1" thickBot="1" x14ac:dyDescent="0.3">
      <c r="A20" s="1" t="s">
        <v>162</v>
      </c>
      <c r="B20" s="1" t="s">
        <v>9</v>
      </c>
      <c r="C20" s="24" t="s">
        <v>163</v>
      </c>
      <c r="D20" s="1" t="s">
        <v>164</v>
      </c>
      <c r="E20" s="24" t="s">
        <v>165</v>
      </c>
      <c r="F20" s="1" t="s">
        <v>42</v>
      </c>
      <c r="G20" s="24" t="s">
        <v>166</v>
      </c>
      <c r="H20" s="1" t="s">
        <v>167</v>
      </c>
      <c r="I20" s="24" t="s">
        <v>168</v>
      </c>
      <c r="J20" s="1" t="s">
        <v>169</v>
      </c>
    </row>
    <row r="21" spans="1:14" ht="16.5" thickTop="1" thickBot="1" x14ac:dyDescent="0.3">
      <c r="A21" s="1" t="s">
        <v>170</v>
      </c>
      <c r="B21" s="1" t="s">
        <v>19</v>
      </c>
      <c r="C21" s="24" t="s">
        <v>146</v>
      </c>
      <c r="D21" s="1" t="s">
        <v>171</v>
      </c>
      <c r="E21" s="24" t="s">
        <v>172</v>
      </c>
      <c r="F21" s="1" t="s">
        <v>33</v>
      </c>
      <c r="G21" s="24" t="s">
        <v>173</v>
      </c>
      <c r="H21" s="1" t="s">
        <v>167</v>
      </c>
      <c r="I21" s="24" t="s">
        <v>174</v>
      </c>
      <c r="J21" s="1" t="s">
        <v>175</v>
      </c>
    </row>
    <row r="22" spans="1:14" ht="16.5" thickTop="1" thickBot="1" x14ac:dyDescent="0.3">
      <c r="A22" s="1" t="s">
        <v>176</v>
      </c>
      <c r="B22" s="1" t="s">
        <v>29</v>
      </c>
      <c r="C22" s="24" t="s">
        <v>177</v>
      </c>
      <c r="D22" s="1" t="s">
        <v>178</v>
      </c>
      <c r="E22" s="24" t="s">
        <v>179</v>
      </c>
      <c r="F22" s="1" t="s">
        <v>13</v>
      </c>
      <c r="G22" s="24" t="s">
        <v>180</v>
      </c>
      <c r="H22" s="1" t="s">
        <v>167</v>
      </c>
      <c r="I22" s="24" t="s">
        <v>181</v>
      </c>
      <c r="J22" s="1" t="s">
        <v>182</v>
      </c>
    </row>
    <row r="23" spans="1:14" ht="16.5" thickTop="1" thickBot="1" x14ac:dyDescent="0.3">
      <c r="A23" s="1" t="s">
        <v>183</v>
      </c>
      <c r="B23" s="1" t="s">
        <v>9</v>
      </c>
      <c r="C23" s="24" t="s">
        <v>184</v>
      </c>
      <c r="D23" s="1" t="s">
        <v>185</v>
      </c>
      <c r="E23" s="24" t="s">
        <v>186</v>
      </c>
      <c r="F23" s="1" t="s">
        <v>92</v>
      </c>
      <c r="G23" s="24" t="s">
        <v>187</v>
      </c>
      <c r="H23" s="1" t="s">
        <v>188</v>
      </c>
      <c r="I23" s="24" t="s">
        <v>189</v>
      </c>
      <c r="J23" s="1" t="s">
        <v>190</v>
      </c>
    </row>
    <row r="24" spans="1:14" ht="16.5" thickTop="1" thickBot="1" x14ac:dyDescent="0.3">
      <c r="A24" s="1" t="s">
        <v>191</v>
      </c>
      <c r="B24" s="1" t="s">
        <v>19</v>
      </c>
      <c r="C24" s="24" t="s">
        <v>192</v>
      </c>
      <c r="D24" s="1" t="s">
        <v>193</v>
      </c>
      <c r="E24" s="24" t="s">
        <v>194</v>
      </c>
      <c r="F24" s="1" t="s">
        <v>75</v>
      </c>
      <c r="G24" s="24" t="s">
        <v>195</v>
      </c>
      <c r="H24" s="1" t="s">
        <v>188</v>
      </c>
      <c r="I24" s="24" t="s">
        <v>196</v>
      </c>
      <c r="J24" s="1" t="s">
        <v>197</v>
      </c>
    </row>
    <row r="25" spans="1:14" ht="16.5" thickTop="1" thickBot="1" x14ac:dyDescent="0.3">
      <c r="A25" s="1" t="s">
        <v>198</v>
      </c>
      <c r="B25" s="1" t="s">
        <v>29</v>
      </c>
      <c r="C25" s="24" t="s">
        <v>199</v>
      </c>
      <c r="D25" s="1" t="s">
        <v>200</v>
      </c>
      <c r="E25" s="24" t="s">
        <v>201</v>
      </c>
      <c r="F25" s="1" t="s">
        <v>127</v>
      </c>
      <c r="G25" s="24" t="s">
        <v>202</v>
      </c>
      <c r="H25" s="1" t="s">
        <v>188</v>
      </c>
      <c r="I25" s="24" t="s">
        <v>203</v>
      </c>
      <c r="J25" s="1" t="s">
        <v>204</v>
      </c>
    </row>
    <row r="26" spans="1:14" ht="16.5" thickTop="1" thickBot="1" x14ac:dyDescent="0.3">
      <c r="A26" s="1" t="s">
        <v>205</v>
      </c>
      <c r="B26" s="1" t="s">
        <v>9</v>
      </c>
      <c r="C26" s="24" t="s">
        <v>206</v>
      </c>
      <c r="D26" s="1" t="s">
        <v>207</v>
      </c>
      <c r="E26" s="24" t="s">
        <v>208</v>
      </c>
      <c r="F26" s="1" t="s">
        <v>67</v>
      </c>
      <c r="G26" s="24" t="s">
        <v>209</v>
      </c>
      <c r="H26" s="1" t="s">
        <v>188</v>
      </c>
      <c r="I26" s="24" t="s">
        <v>210</v>
      </c>
      <c r="J26" s="1" t="s">
        <v>211</v>
      </c>
    </row>
    <row r="27" spans="1:14" ht="16.5" thickTop="1" thickBot="1" x14ac:dyDescent="0.3">
      <c r="A27" s="1" t="s">
        <v>212</v>
      </c>
      <c r="B27" s="1" t="s">
        <v>19</v>
      </c>
      <c r="C27" s="24" t="s">
        <v>213</v>
      </c>
      <c r="D27" s="1" t="s">
        <v>214</v>
      </c>
      <c r="E27" s="24" t="s">
        <v>215</v>
      </c>
      <c r="F27" s="1" t="s">
        <v>109</v>
      </c>
      <c r="G27" s="24" t="s">
        <v>216</v>
      </c>
      <c r="H27" s="1" t="s">
        <v>188</v>
      </c>
      <c r="I27" s="24" t="s">
        <v>217</v>
      </c>
      <c r="J27" s="1" t="s">
        <v>218</v>
      </c>
    </row>
    <row r="28" spans="1:14" ht="16.5" thickTop="1" thickBot="1" x14ac:dyDescent="0.3">
      <c r="A28" s="1" t="s">
        <v>219</v>
      </c>
      <c r="B28" s="1" t="s">
        <v>29</v>
      </c>
      <c r="C28" s="24" t="s">
        <v>220</v>
      </c>
      <c r="D28" s="1" t="s">
        <v>221</v>
      </c>
      <c r="E28" s="24" t="s">
        <v>222</v>
      </c>
      <c r="F28" s="1" t="s">
        <v>13</v>
      </c>
      <c r="G28" s="24" t="s">
        <v>223</v>
      </c>
      <c r="H28" s="1" t="s">
        <v>188</v>
      </c>
      <c r="I28" s="24" t="s">
        <v>224</v>
      </c>
      <c r="J28" s="1" t="s">
        <v>225</v>
      </c>
    </row>
    <row r="29" spans="1:14" ht="16.5" thickTop="1" thickBot="1" x14ac:dyDescent="0.3">
      <c r="A29" s="1" t="s">
        <v>226</v>
      </c>
      <c r="B29" s="1" t="s">
        <v>9</v>
      </c>
      <c r="C29" s="24" t="s">
        <v>10</v>
      </c>
      <c r="D29" s="1" t="s">
        <v>227</v>
      </c>
      <c r="E29" s="24" t="s">
        <v>228</v>
      </c>
      <c r="F29" s="1" t="s">
        <v>118</v>
      </c>
      <c r="G29" s="24" t="s">
        <v>229</v>
      </c>
      <c r="H29" s="1" t="s">
        <v>188</v>
      </c>
      <c r="I29" s="24" t="s">
        <v>230</v>
      </c>
      <c r="J29" s="1" t="s">
        <v>231</v>
      </c>
    </row>
    <row r="30" spans="1:14" ht="16.5" thickTop="1" thickBot="1" x14ac:dyDescent="0.3">
      <c r="A30" s="1" t="s">
        <v>232</v>
      </c>
      <c r="B30" s="1" t="s">
        <v>19</v>
      </c>
      <c r="C30" s="24" t="s">
        <v>233</v>
      </c>
      <c r="D30" s="1" t="s">
        <v>234</v>
      </c>
      <c r="E30" s="24" t="s">
        <v>235</v>
      </c>
      <c r="F30" s="1" t="s">
        <v>100</v>
      </c>
      <c r="G30" s="24" t="s">
        <v>236</v>
      </c>
      <c r="H30" s="1" t="s">
        <v>237</v>
      </c>
      <c r="I30" s="24" t="s">
        <v>238</v>
      </c>
      <c r="J30" s="1" t="s">
        <v>239</v>
      </c>
      <c r="N30" s="10" t="s">
        <v>284</v>
      </c>
    </row>
    <row r="31" spans="1:14" ht="16.5" thickTop="1" thickBot="1" x14ac:dyDescent="0.3">
      <c r="A31" s="1" t="s">
        <v>240</v>
      </c>
      <c r="B31" s="1" t="s">
        <v>29</v>
      </c>
      <c r="C31" s="24" t="s">
        <v>241</v>
      </c>
      <c r="D31" s="1" t="s">
        <v>242</v>
      </c>
      <c r="E31" s="24" t="s">
        <v>243</v>
      </c>
      <c r="F31" s="1" t="s">
        <v>109</v>
      </c>
      <c r="G31" s="24" t="s">
        <v>244</v>
      </c>
      <c r="H31" s="1" t="s">
        <v>237</v>
      </c>
      <c r="I31" s="24" t="s">
        <v>245</v>
      </c>
      <c r="J31" s="1" t="s">
        <v>246</v>
      </c>
    </row>
    <row r="32" spans="1:14" ht="15.75" thickTop="1" x14ac:dyDescent="0.25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ustomers_Button1_Click">
                <anchor moveWithCells="1" sizeWithCells="1">
                  <from>
                    <xdr:col>16</xdr:col>
                    <xdr:colOff>114300</xdr:colOff>
                    <xdr:row>1</xdr:row>
                    <xdr:rowOff>142875</xdr:rowOff>
                  </from>
                  <to>
                    <xdr:col>21</xdr:col>
                    <xdr:colOff>371475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_7">
                <anchor moveWithCells="1" sizeWithCells="1">
                  <from>
                    <xdr:col>16</xdr:col>
                    <xdr:colOff>114300</xdr:colOff>
                    <xdr:row>0</xdr:row>
                    <xdr:rowOff>485775</xdr:rowOff>
                  </from>
                  <to>
                    <xdr:col>21</xdr:col>
                    <xdr:colOff>400050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FC522-545F-40D1-843C-C5EE98E58374}">
  <sheetPr codeName="Sheet3"/>
  <dimension ref="A1:AL76"/>
  <sheetViews>
    <sheetView workbookViewId="0">
      <selection activeCell="R13" sqref="R13"/>
    </sheetView>
  </sheetViews>
  <sheetFormatPr defaultRowHeight="15" x14ac:dyDescent="0.25"/>
  <cols>
    <col min="3" max="3" width="22.28515625" customWidth="1"/>
    <col min="4" max="4" width="10.7109375" bestFit="1" customWidth="1"/>
  </cols>
  <sheetData>
    <row r="1" spans="1:38" ht="91.5" x14ac:dyDescent="0.25">
      <c r="A1" s="20" t="s">
        <v>1</v>
      </c>
      <c r="B1" s="12" t="s">
        <v>247</v>
      </c>
      <c r="C1" s="38" t="s">
        <v>248</v>
      </c>
      <c r="D1" s="13" t="s">
        <v>250</v>
      </c>
      <c r="E1" s="38" t="s">
        <v>249</v>
      </c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x14ac:dyDescent="0.25">
      <c r="A2" s="21" t="s">
        <v>8</v>
      </c>
      <c r="B2" s="14">
        <v>1</v>
      </c>
      <c r="C2" s="42">
        <v>44562</v>
      </c>
      <c r="D2" s="15">
        <v>2</v>
      </c>
      <c r="E2" s="39">
        <v>1</v>
      </c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7"/>
      <c r="AK2" s="47"/>
      <c r="AL2" s="47"/>
    </row>
    <row r="3" spans="1:38" x14ac:dyDescent="0.25">
      <c r="A3" s="22" t="s">
        <v>18</v>
      </c>
      <c r="B3" s="16">
        <v>2</v>
      </c>
      <c r="C3" s="43">
        <v>44563</v>
      </c>
      <c r="D3" s="17">
        <v>3</v>
      </c>
      <c r="E3" s="40">
        <v>2</v>
      </c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  <c r="AK3" s="47"/>
      <c r="AL3" s="47"/>
    </row>
    <row r="4" spans="1:38" x14ac:dyDescent="0.25">
      <c r="A4" s="22" t="s">
        <v>28</v>
      </c>
      <c r="B4" s="16">
        <v>3</v>
      </c>
      <c r="C4" s="43">
        <v>44564</v>
      </c>
      <c r="D4" s="17">
        <v>4</v>
      </c>
      <c r="E4" s="40">
        <v>3</v>
      </c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</row>
    <row r="5" spans="1:38" x14ac:dyDescent="0.25">
      <c r="A5" s="22" t="s">
        <v>38</v>
      </c>
      <c r="B5" s="16">
        <v>4</v>
      </c>
      <c r="C5" s="43">
        <v>44565</v>
      </c>
      <c r="D5" s="17">
        <v>5</v>
      </c>
      <c r="E5" s="40">
        <v>4</v>
      </c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  <c r="AK5" s="47"/>
      <c r="AL5" s="47"/>
    </row>
    <row r="6" spans="1:38" x14ac:dyDescent="0.25">
      <c r="A6" s="22" t="s">
        <v>46</v>
      </c>
      <c r="B6" s="16">
        <v>5</v>
      </c>
      <c r="C6" s="43">
        <v>44566</v>
      </c>
      <c r="D6" s="17">
        <v>6</v>
      </c>
      <c r="E6" s="40">
        <v>5</v>
      </c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</row>
    <row r="7" spans="1:38" x14ac:dyDescent="0.25">
      <c r="A7" s="22" t="s">
        <v>55</v>
      </c>
      <c r="B7" s="16">
        <v>6</v>
      </c>
      <c r="C7" s="43">
        <v>44567</v>
      </c>
      <c r="D7" s="17">
        <v>7</v>
      </c>
      <c r="E7" s="40">
        <v>6</v>
      </c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</row>
    <row r="8" spans="1:38" x14ac:dyDescent="0.25">
      <c r="A8" s="22" t="s">
        <v>63</v>
      </c>
      <c r="B8" s="16">
        <v>7</v>
      </c>
      <c r="C8" s="43">
        <v>44568</v>
      </c>
      <c r="D8" s="17">
        <v>8</v>
      </c>
      <c r="E8" s="40">
        <v>7</v>
      </c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</row>
    <row r="9" spans="1:38" x14ac:dyDescent="0.25">
      <c r="A9" s="22" t="s">
        <v>72</v>
      </c>
      <c r="B9" s="16">
        <v>8</v>
      </c>
      <c r="C9" s="43">
        <v>44569</v>
      </c>
      <c r="D9" s="17">
        <v>2</v>
      </c>
      <c r="E9" s="40">
        <v>1</v>
      </c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</row>
    <row r="10" spans="1:38" x14ac:dyDescent="0.25">
      <c r="A10" s="22" t="s">
        <v>80</v>
      </c>
      <c r="B10" s="16">
        <v>9</v>
      </c>
      <c r="C10" s="43">
        <v>44570</v>
      </c>
      <c r="D10" s="17">
        <v>3</v>
      </c>
      <c r="E10" s="40">
        <v>2</v>
      </c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  <c r="AL10" s="47"/>
    </row>
    <row r="11" spans="1:38" x14ac:dyDescent="0.25">
      <c r="A11" s="22" t="s">
        <v>87</v>
      </c>
      <c r="B11" s="16">
        <v>10</v>
      </c>
      <c r="C11" s="43">
        <v>44571</v>
      </c>
      <c r="D11" s="17">
        <v>4</v>
      </c>
      <c r="E11" s="40">
        <v>3</v>
      </c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  <c r="AJ11" s="47"/>
      <c r="AK11" s="47"/>
      <c r="AL11" s="47"/>
    </row>
    <row r="12" spans="1:38" x14ac:dyDescent="0.25">
      <c r="A12" s="22" t="s">
        <v>97</v>
      </c>
      <c r="B12" s="16">
        <v>11</v>
      </c>
      <c r="C12" s="43">
        <v>44572</v>
      </c>
      <c r="D12" s="17">
        <v>5</v>
      </c>
      <c r="E12" s="40">
        <v>4</v>
      </c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  <c r="AL12" s="47"/>
    </row>
    <row r="13" spans="1:38" x14ac:dyDescent="0.25">
      <c r="A13" s="22" t="s">
        <v>105</v>
      </c>
      <c r="B13" s="16">
        <v>12</v>
      </c>
      <c r="C13" s="43">
        <v>44573</v>
      </c>
      <c r="D13" s="17">
        <v>6</v>
      </c>
      <c r="E13" s="40">
        <v>5</v>
      </c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47"/>
      <c r="AK13" s="47"/>
      <c r="AL13" s="47"/>
    </row>
    <row r="14" spans="1:38" x14ac:dyDescent="0.25">
      <c r="A14" s="22" t="s">
        <v>114</v>
      </c>
      <c r="B14" s="16">
        <v>13</v>
      </c>
      <c r="C14" s="43">
        <v>44574</v>
      </c>
      <c r="D14" s="17">
        <v>7</v>
      </c>
      <c r="E14" s="40">
        <v>6</v>
      </c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47"/>
      <c r="AJ14" s="47"/>
      <c r="AK14" s="47"/>
      <c r="AL14" s="47"/>
    </row>
    <row r="15" spans="1:38" x14ac:dyDescent="0.25">
      <c r="A15" s="22" t="s">
        <v>123</v>
      </c>
      <c r="B15" s="16">
        <v>14</v>
      </c>
      <c r="C15" s="43">
        <v>44575</v>
      </c>
      <c r="D15" s="17">
        <v>8</v>
      </c>
      <c r="E15" s="40">
        <v>7</v>
      </c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</row>
    <row r="16" spans="1:38" x14ac:dyDescent="0.25">
      <c r="A16" s="22" t="s">
        <v>131</v>
      </c>
      <c r="B16" s="16">
        <v>15</v>
      </c>
      <c r="C16" s="43">
        <v>44576</v>
      </c>
      <c r="D16" s="17">
        <v>2</v>
      </c>
      <c r="E16" s="40">
        <v>1</v>
      </c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</row>
    <row r="17" spans="1:38" x14ac:dyDescent="0.25">
      <c r="A17" s="22" t="s">
        <v>138</v>
      </c>
      <c r="B17" s="16">
        <v>16</v>
      </c>
      <c r="C17" s="43">
        <v>44577</v>
      </c>
      <c r="D17" s="17">
        <v>3</v>
      </c>
      <c r="E17" s="40">
        <v>2</v>
      </c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</row>
    <row r="18" spans="1:38" x14ac:dyDescent="0.25">
      <c r="A18" s="22" t="s">
        <v>145</v>
      </c>
      <c r="B18" s="16">
        <v>17</v>
      </c>
      <c r="C18" s="43">
        <v>44578</v>
      </c>
      <c r="D18" s="17">
        <v>4</v>
      </c>
      <c r="E18" s="40">
        <v>3</v>
      </c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</row>
    <row r="19" spans="1:38" x14ac:dyDescent="0.25">
      <c r="A19" s="22" t="s">
        <v>153</v>
      </c>
      <c r="B19" s="16">
        <v>18</v>
      </c>
      <c r="C19" s="43">
        <v>44579</v>
      </c>
      <c r="D19" s="17">
        <v>5</v>
      </c>
      <c r="E19" s="40">
        <v>4</v>
      </c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</row>
    <row r="20" spans="1:38" x14ac:dyDescent="0.25">
      <c r="A20" s="22" t="s">
        <v>162</v>
      </c>
      <c r="B20" s="16">
        <v>19</v>
      </c>
      <c r="C20" s="43">
        <v>44580</v>
      </c>
      <c r="D20" s="17">
        <v>6</v>
      </c>
      <c r="E20" s="40">
        <v>5</v>
      </c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</row>
    <row r="21" spans="1:38" x14ac:dyDescent="0.25">
      <c r="A21" s="22" t="s">
        <v>170</v>
      </c>
      <c r="B21" s="16">
        <v>20</v>
      </c>
      <c r="C21" s="43">
        <v>44581</v>
      </c>
      <c r="D21" s="17">
        <v>7</v>
      </c>
      <c r="E21" s="40">
        <v>6</v>
      </c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</row>
    <row r="22" spans="1:38" x14ac:dyDescent="0.25">
      <c r="A22" s="22" t="s">
        <v>176</v>
      </c>
      <c r="B22" s="16">
        <v>21</v>
      </c>
      <c r="C22" s="43">
        <v>44582</v>
      </c>
      <c r="D22" s="17">
        <v>8</v>
      </c>
      <c r="E22" s="40">
        <v>7</v>
      </c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</row>
    <row r="23" spans="1:38" x14ac:dyDescent="0.25">
      <c r="A23" s="22" t="s">
        <v>183</v>
      </c>
      <c r="B23" s="16">
        <v>22</v>
      </c>
      <c r="C23" s="43">
        <v>44583</v>
      </c>
      <c r="D23" s="17">
        <v>2</v>
      </c>
      <c r="E23" s="40">
        <v>1</v>
      </c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</row>
    <row r="24" spans="1:38" x14ac:dyDescent="0.25">
      <c r="A24" s="22" t="s">
        <v>191</v>
      </c>
      <c r="B24" s="16">
        <v>23</v>
      </c>
      <c r="C24" s="43">
        <v>44584</v>
      </c>
      <c r="D24" s="17">
        <v>3</v>
      </c>
      <c r="E24" s="40">
        <v>2</v>
      </c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</row>
    <row r="25" spans="1:38" x14ac:dyDescent="0.25">
      <c r="A25" s="22" t="s">
        <v>198</v>
      </c>
      <c r="B25" s="16">
        <v>24</v>
      </c>
      <c r="C25" s="43">
        <v>44585</v>
      </c>
      <c r="D25" s="17">
        <v>4</v>
      </c>
      <c r="E25" s="40">
        <v>3</v>
      </c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</row>
    <row r="26" spans="1:38" x14ac:dyDescent="0.25">
      <c r="A26" s="22" t="s">
        <v>205</v>
      </c>
      <c r="B26" s="16">
        <v>25</v>
      </c>
      <c r="C26" s="43">
        <v>44586</v>
      </c>
      <c r="D26" s="17">
        <v>5</v>
      </c>
      <c r="E26" s="40">
        <v>4</v>
      </c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</row>
    <row r="27" spans="1:38" x14ac:dyDescent="0.25">
      <c r="A27" s="22" t="s">
        <v>212</v>
      </c>
      <c r="B27" s="16">
        <v>26</v>
      </c>
      <c r="C27" s="43">
        <v>44587</v>
      </c>
      <c r="D27" s="17">
        <v>6</v>
      </c>
      <c r="E27" s="40">
        <v>5</v>
      </c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</row>
    <row r="28" spans="1:38" x14ac:dyDescent="0.25">
      <c r="A28" s="22" t="s">
        <v>219</v>
      </c>
      <c r="B28" s="16">
        <v>27</v>
      </c>
      <c r="C28" s="43">
        <v>44588</v>
      </c>
      <c r="D28" s="17">
        <v>7</v>
      </c>
      <c r="E28" s="40">
        <v>6</v>
      </c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</row>
    <row r="29" spans="1:38" x14ac:dyDescent="0.25">
      <c r="A29" s="22" t="s">
        <v>226</v>
      </c>
      <c r="B29" s="16">
        <v>28</v>
      </c>
      <c r="C29" s="43">
        <v>44589</v>
      </c>
      <c r="D29" s="17">
        <v>8</v>
      </c>
      <c r="E29" s="40">
        <v>7</v>
      </c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</row>
    <row r="30" spans="1:38" x14ac:dyDescent="0.25">
      <c r="A30" s="22" t="s">
        <v>232</v>
      </c>
      <c r="B30" s="16">
        <v>29</v>
      </c>
      <c r="C30" s="43">
        <v>44590</v>
      </c>
      <c r="D30" s="17">
        <v>2</v>
      </c>
      <c r="E30" s="40">
        <v>1</v>
      </c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  <c r="AI30" s="47"/>
      <c r="AJ30" s="47"/>
      <c r="AK30" s="47"/>
      <c r="AL30" s="47"/>
    </row>
    <row r="31" spans="1:38" x14ac:dyDescent="0.25">
      <c r="A31" s="22" t="s">
        <v>240</v>
      </c>
      <c r="B31" s="16">
        <v>30</v>
      </c>
      <c r="C31" s="43">
        <v>44591</v>
      </c>
      <c r="D31" s="17">
        <v>3</v>
      </c>
      <c r="E31" s="40">
        <v>2</v>
      </c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</row>
    <row r="32" spans="1:38" x14ac:dyDescent="0.25">
      <c r="A32" s="22" t="s">
        <v>8</v>
      </c>
      <c r="B32" s="16">
        <v>31</v>
      </c>
      <c r="C32" s="43">
        <v>44592</v>
      </c>
      <c r="D32" s="17">
        <v>4</v>
      </c>
      <c r="E32" s="40">
        <v>3</v>
      </c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  <c r="AL32" s="47"/>
    </row>
    <row r="33" spans="1:38" x14ac:dyDescent="0.25">
      <c r="A33" s="22" t="s">
        <v>18</v>
      </c>
      <c r="B33" s="16">
        <v>32</v>
      </c>
      <c r="C33" s="43">
        <v>44593</v>
      </c>
      <c r="D33" s="17">
        <v>5</v>
      </c>
      <c r="E33" s="40">
        <v>4</v>
      </c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  <c r="AL33" s="47"/>
    </row>
    <row r="34" spans="1:38" x14ac:dyDescent="0.25">
      <c r="A34" s="22" t="s">
        <v>28</v>
      </c>
      <c r="B34" s="16">
        <v>33</v>
      </c>
      <c r="C34" s="43">
        <v>44594</v>
      </c>
      <c r="D34" s="17">
        <v>6</v>
      </c>
      <c r="E34" s="40">
        <v>5</v>
      </c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7"/>
    </row>
    <row r="35" spans="1:38" x14ac:dyDescent="0.25">
      <c r="A35" s="22" t="s">
        <v>38</v>
      </c>
      <c r="B35" s="16">
        <v>34</v>
      </c>
      <c r="C35" s="43">
        <v>44595</v>
      </c>
      <c r="D35" s="17">
        <v>7</v>
      </c>
      <c r="E35" s="40">
        <v>6</v>
      </c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  <c r="AL35" s="47"/>
    </row>
    <row r="36" spans="1:38" x14ac:dyDescent="0.25">
      <c r="A36" s="22" t="s">
        <v>46</v>
      </c>
      <c r="B36" s="16">
        <v>35</v>
      </c>
      <c r="C36" s="43">
        <v>44596</v>
      </c>
      <c r="D36" s="17">
        <v>8</v>
      </c>
      <c r="E36" s="40">
        <v>7</v>
      </c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  <c r="AL36" s="47"/>
    </row>
    <row r="37" spans="1:38" x14ac:dyDescent="0.25">
      <c r="A37" s="22" t="s">
        <v>55</v>
      </c>
      <c r="B37" s="16">
        <v>36</v>
      </c>
      <c r="C37" s="43">
        <v>44597</v>
      </c>
      <c r="D37" s="17">
        <v>2</v>
      </c>
      <c r="E37" s="40">
        <v>1</v>
      </c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  <c r="AL37" s="47"/>
    </row>
    <row r="38" spans="1:38" x14ac:dyDescent="0.25">
      <c r="A38" s="22" t="s">
        <v>63</v>
      </c>
      <c r="B38" s="16">
        <v>37</v>
      </c>
      <c r="C38" s="43">
        <v>44598</v>
      </c>
      <c r="D38" s="17">
        <v>3</v>
      </c>
      <c r="E38" s="40">
        <v>2</v>
      </c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</row>
    <row r="39" spans="1:38" x14ac:dyDescent="0.25">
      <c r="A39" s="22" t="s">
        <v>72</v>
      </c>
      <c r="B39" s="16">
        <v>38</v>
      </c>
      <c r="C39" s="43">
        <v>44599</v>
      </c>
      <c r="D39" s="17">
        <v>4</v>
      </c>
      <c r="E39" s="40">
        <v>3</v>
      </c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  <c r="AL39" s="47"/>
    </row>
    <row r="40" spans="1:38" x14ac:dyDescent="0.25">
      <c r="A40" s="22" t="s">
        <v>80</v>
      </c>
      <c r="B40" s="16">
        <v>39</v>
      </c>
      <c r="C40" s="43">
        <v>44600</v>
      </c>
      <c r="D40" s="17">
        <v>5</v>
      </c>
      <c r="E40" s="40">
        <v>4</v>
      </c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  <c r="AL40" s="47"/>
    </row>
    <row r="41" spans="1:38" x14ac:dyDescent="0.25">
      <c r="A41" s="22" t="s">
        <v>87</v>
      </c>
      <c r="B41" s="16">
        <v>40</v>
      </c>
      <c r="C41" s="43">
        <v>44601</v>
      </c>
      <c r="D41" s="17">
        <v>6</v>
      </c>
      <c r="E41" s="40">
        <v>5</v>
      </c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  <c r="AL41" s="47"/>
    </row>
    <row r="42" spans="1:38" x14ac:dyDescent="0.25">
      <c r="A42" s="22" t="s">
        <v>97</v>
      </c>
      <c r="B42" s="16">
        <v>41</v>
      </c>
      <c r="C42" s="43">
        <v>44602</v>
      </c>
      <c r="D42" s="17">
        <v>7</v>
      </c>
      <c r="E42" s="40">
        <v>6</v>
      </c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  <c r="AL42" s="47"/>
    </row>
    <row r="43" spans="1:38" x14ac:dyDescent="0.25">
      <c r="A43" s="22" t="s">
        <v>105</v>
      </c>
      <c r="B43" s="16">
        <v>42</v>
      </c>
      <c r="C43" s="43">
        <v>44603</v>
      </c>
      <c r="D43" s="17">
        <v>8</v>
      </c>
      <c r="E43" s="40">
        <v>7</v>
      </c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47"/>
      <c r="AI43" s="47"/>
      <c r="AJ43" s="47"/>
      <c r="AK43" s="47"/>
      <c r="AL43" s="47"/>
    </row>
    <row r="44" spans="1:38" x14ac:dyDescent="0.25">
      <c r="A44" s="22" t="s">
        <v>114</v>
      </c>
      <c r="B44" s="16">
        <v>43</v>
      </c>
      <c r="C44" s="43">
        <v>44604</v>
      </c>
      <c r="D44" s="17">
        <v>2</v>
      </c>
      <c r="E44" s="40">
        <v>1</v>
      </c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  <c r="AL44" s="47"/>
    </row>
    <row r="45" spans="1:38" x14ac:dyDescent="0.25">
      <c r="A45" s="22" t="s">
        <v>123</v>
      </c>
      <c r="B45" s="16">
        <v>44</v>
      </c>
      <c r="C45" s="43">
        <v>44605</v>
      </c>
      <c r="D45" s="17">
        <v>3</v>
      </c>
      <c r="E45" s="40">
        <v>2</v>
      </c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</row>
    <row r="46" spans="1:38" x14ac:dyDescent="0.25">
      <c r="A46" s="22" t="s">
        <v>131</v>
      </c>
      <c r="B46" s="16">
        <v>45</v>
      </c>
      <c r="C46" s="43">
        <v>44606</v>
      </c>
      <c r="D46" s="17">
        <v>4</v>
      </c>
      <c r="E46" s="40">
        <v>3</v>
      </c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  <c r="AL46" s="47"/>
    </row>
    <row r="47" spans="1:38" x14ac:dyDescent="0.25">
      <c r="A47" s="22" t="s">
        <v>138</v>
      </c>
      <c r="B47" s="16">
        <v>46</v>
      </c>
      <c r="C47" s="43">
        <v>44607</v>
      </c>
      <c r="D47" s="17">
        <v>5</v>
      </c>
      <c r="E47" s="40">
        <v>4</v>
      </c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47"/>
      <c r="AK47" s="47"/>
      <c r="AL47" s="47"/>
    </row>
    <row r="48" spans="1:38" x14ac:dyDescent="0.25">
      <c r="A48" s="22" t="s">
        <v>145</v>
      </c>
      <c r="B48" s="16">
        <v>47</v>
      </c>
      <c r="C48" s="43">
        <v>44608</v>
      </c>
      <c r="D48" s="17">
        <v>6</v>
      </c>
      <c r="E48" s="40">
        <v>5</v>
      </c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47"/>
      <c r="AK48" s="47"/>
      <c r="AL48" s="47"/>
    </row>
    <row r="49" spans="1:38" x14ac:dyDescent="0.25">
      <c r="A49" s="22" t="s">
        <v>153</v>
      </c>
      <c r="B49" s="16">
        <v>48</v>
      </c>
      <c r="C49" s="43">
        <v>44609</v>
      </c>
      <c r="D49" s="17">
        <v>7</v>
      </c>
      <c r="E49" s="40">
        <v>6</v>
      </c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  <c r="AL49" s="47"/>
    </row>
    <row r="50" spans="1:38" x14ac:dyDescent="0.25">
      <c r="A50" s="22" t="s">
        <v>162</v>
      </c>
      <c r="B50" s="16">
        <v>49</v>
      </c>
      <c r="C50" s="43">
        <v>44610</v>
      </c>
      <c r="D50" s="17">
        <v>8</v>
      </c>
      <c r="E50" s="40">
        <v>7</v>
      </c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</row>
    <row r="51" spans="1:38" x14ac:dyDescent="0.25">
      <c r="A51" s="22" t="s">
        <v>170</v>
      </c>
      <c r="B51" s="16">
        <v>50</v>
      </c>
      <c r="C51" s="43">
        <v>44611</v>
      </c>
      <c r="D51" s="17">
        <v>2</v>
      </c>
      <c r="E51" s="40">
        <v>1</v>
      </c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</row>
    <row r="52" spans="1:38" x14ac:dyDescent="0.25">
      <c r="A52" s="22" t="s">
        <v>176</v>
      </c>
      <c r="B52" s="16">
        <v>51</v>
      </c>
      <c r="C52" s="43">
        <v>44612</v>
      </c>
      <c r="D52" s="17">
        <v>3</v>
      </c>
      <c r="E52" s="40">
        <v>2</v>
      </c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  <c r="AI52" s="47"/>
      <c r="AJ52" s="47"/>
      <c r="AK52" s="47"/>
      <c r="AL52" s="47"/>
    </row>
    <row r="53" spans="1:38" x14ac:dyDescent="0.25">
      <c r="A53" s="22" t="s">
        <v>183</v>
      </c>
      <c r="B53" s="16">
        <v>52</v>
      </c>
      <c r="C53" s="43">
        <v>44613</v>
      </c>
      <c r="D53" s="17">
        <v>4</v>
      </c>
      <c r="E53" s="40">
        <v>3</v>
      </c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</row>
    <row r="54" spans="1:38" x14ac:dyDescent="0.25">
      <c r="A54" s="22" t="s">
        <v>191</v>
      </c>
      <c r="B54" s="16">
        <v>53</v>
      </c>
      <c r="C54" s="43">
        <v>44614</v>
      </c>
      <c r="D54" s="17">
        <v>5</v>
      </c>
      <c r="E54" s="40">
        <v>4</v>
      </c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  <c r="AL54" s="47"/>
    </row>
    <row r="55" spans="1:38" x14ac:dyDescent="0.25">
      <c r="A55" s="22" t="s">
        <v>198</v>
      </c>
      <c r="B55" s="16">
        <v>54</v>
      </c>
      <c r="C55" s="43">
        <v>44615</v>
      </c>
      <c r="D55" s="17">
        <v>6</v>
      </c>
      <c r="E55" s="40">
        <v>5</v>
      </c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  <c r="AL55" s="47"/>
    </row>
    <row r="56" spans="1:38" x14ac:dyDescent="0.25">
      <c r="A56" s="22" t="s">
        <v>205</v>
      </c>
      <c r="B56" s="16">
        <v>55</v>
      </c>
      <c r="C56" s="43">
        <v>44616</v>
      </c>
      <c r="D56" s="17">
        <v>7</v>
      </c>
      <c r="E56" s="40">
        <v>6</v>
      </c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  <c r="AL56" s="47"/>
    </row>
    <row r="57" spans="1:38" x14ac:dyDescent="0.25">
      <c r="A57" s="22" t="s">
        <v>212</v>
      </c>
      <c r="B57" s="16">
        <v>56</v>
      </c>
      <c r="C57" s="43">
        <v>44617</v>
      </c>
      <c r="D57" s="17">
        <v>8</v>
      </c>
      <c r="E57" s="40">
        <v>7</v>
      </c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  <c r="AI57" s="47"/>
      <c r="AJ57" s="47"/>
      <c r="AK57" s="47"/>
      <c r="AL57" s="47"/>
    </row>
    <row r="58" spans="1:38" x14ac:dyDescent="0.25">
      <c r="A58" s="22" t="s">
        <v>219</v>
      </c>
      <c r="B58" s="16">
        <v>57</v>
      </c>
      <c r="C58" s="43">
        <v>44617</v>
      </c>
      <c r="D58" s="17">
        <v>8</v>
      </c>
      <c r="E58" s="40">
        <v>8</v>
      </c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7"/>
      <c r="AL58" s="47"/>
    </row>
    <row r="59" spans="1:38" x14ac:dyDescent="0.25">
      <c r="A59" s="22" t="s">
        <v>226</v>
      </c>
      <c r="B59" s="16">
        <v>58</v>
      </c>
      <c r="C59" s="43">
        <v>44618</v>
      </c>
      <c r="D59" s="17">
        <v>2</v>
      </c>
      <c r="E59" s="40">
        <v>1</v>
      </c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</row>
    <row r="60" spans="1:38" x14ac:dyDescent="0.25">
      <c r="A60" s="22" t="s">
        <v>232</v>
      </c>
      <c r="B60" s="16">
        <v>59</v>
      </c>
      <c r="C60" s="43">
        <v>44619</v>
      </c>
      <c r="D60" s="17">
        <v>3</v>
      </c>
      <c r="E60" s="40">
        <v>2</v>
      </c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</row>
    <row r="61" spans="1:38" x14ac:dyDescent="0.25">
      <c r="A61" s="22" t="s">
        <v>240</v>
      </c>
      <c r="B61" s="16">
        <v>60</v>
      </c>
      <c r="C61" s="43">
        <v>44620</v>
      </c>
      <c r="D61" s="17">
        <v>4</v>
      </c>
      <c r="E61" s="40">
        <v>3</v>
      </c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</row>
    <row r="62" spans="1:38" x14ac:dyDescent="0.25">
      <c r="A62" s="22" t="s">
        <v>8</v>
      </c>
      <c r="B62" s="16">
        <v>61</v>
      </c>
      <c r="C62" s="43">
        <v>44621</v>
      </c>
      <c r="D62" s="17">
        <v>5</v>
      </c>
      <c r="E62" s="40">
        <v>4</v>
      </c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7"/>
      <c r="AL62" s="47"/>
    </row>
    <row r="63" spans="1:38" x14ac:dyDescent="0.25">
      <c r="A63" s="22" t="s">
        <v>18</v>
      </c>
      <c r="B63" s="16">
        <v>62</v>
      </c>
      <c r="C63" s="43">
        <v>44622</v>
      </c>
      <c r="D63" s="17">
        <v>6</v>
      </c>
      <c r="E63" s="40">
        <v>5</v>
      </c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  <c r="AL63" s="47"/>
    </row>
    <row r="64" spans="1:38" x14ac:dyDescent="0.25">
      <c r="A64" s="22" t="s">
        <v>28</v>
      </c>
      <c r="B64" s="16">
        <v>63</v>
      </c>
      <c r="C64" s="43">
        <v>44623</v>
      </c>
      <c r="D64" s="17">
        <v>7</v>
      </c>
      <c r="E64" s="40">
        <v>6</v>
      </c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</row>
    <row r="65" spans="1:38" x14ac:dyDescent="0.25">
      <c r="A65" s="22" t="s">
        <v>38</v>
      </c>
      <c r="B65" s="16">
        <v>64</v>
      </c>
      <c r="C65" s="43">
        <v>44624</v>
      </c>
      <c r="D65" s="17">
        <v>8</v>
      </c>
      <c r="E65" s="40">
        <v>7</v>
      </c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</row>
    <row r="66" spans="1:38" x14ac:dyDescent="0.25">
      <c r="A66" s="22" t="s">
        <v>46</v>
      </c>
      <c r="B66" s="16">
        <v>65</v>
      </c>
      <c r="C66" s="43">
        <v>44625</v>
      </c>
      <c r="D66" s="17">
        <v>2</v>
      </c>
      <c r="E66" s="40">
        <v>1</v>
      </c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  <c r="AL66" s="47"/>
    </row>
    <row r="67" spans="1:38" x14ac:dyDescent="0.25">
      <c r="A67" s="22" t="s">
        <v>55</v>
      </c>
      <c r="B67" s="16">
        <v>66</v>
      </c>
      <c r="C67" s="43">
        <v>44626</v>
      </c>
      <c r="D67" s="17">
        <v>3</v>
      </c>
      <c r="E67" s="40">
        <v>2</v>
      </c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</row>
    <row r="68" spans="1:38" x14ac:dyDescent="0.25">
      <c r="A68" s="22" t="s">
        <v>63</v>
      </c>
      <c r="B68" s="16">
        <v>67</v>
      </c>
      <c r="C68" s="43">
        <v>44627</v>
      </c>
      <c r="D68" s="17">
        <v>4</v>
      </c>
      <c r="E68" s="40">
        <v>3</v>
      </c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  <c r="AL68" s="47"/>
    </row>
    <row r="69" spans="1:38" x14ac:dyDescent="0.25">
      <c r="A69" s="22" t="s">
        <v>72</v>
      </c>
      <c r="B69" s="16">
        <v>68</v>
      </c>
      <c r="C69" s="43">
        <v>44628</v>
      </c>
      <c r="D69" s="17">
        <v>5</v>
      </c>
      <c r="E69" s="40">
        <v>4</v>
      </c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  <c r="AL69" s="47"/>
    </row>
    <row r="70" spans="1:38" x14ac:dyDescent="0.25">
      <c r="A70" s="22" t="s">
        <v>80</v>
      </c>
      <c r="B70" s="16">
        <v>69</v>
      </c>
      <c r="C70" s="43">
        <v>44629</v>
      </c>
      <c r="D70" s="17">
        <v>6</v>
      </c>
      <c r="E70" s="40">
        <v>5</v>
      </c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</row>
    <row r="71" spans="1:38" x14ac:dyDescent="0.25">
      <c r="A71" s="22" t="s">
        <v>87</v>
      </c>
      <c r="B71" s="16">
        <v>70</v>
      </c>
      <c r="C71" s="43">
        <v>44630</v>
      </c>
      <c r="D71" s="17">
        <v>7</v>
      </c>
      <c r="E71" s="40">
        <v>6</v>
      </c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</row>
    <row r="72" spans="1:38" x14ac:dyDescent="0.25">
      <c r="A72" s="22" t="s">
        <v>97</v>
      </c>
      <c r="B72" s="16">
        <v>71</v>
      </c>
      <c r="C72" s="43">
        <v>44631</v>
      </c>
      <c r="D72" s="17">
        <v>8</v>
      </c>
      <c r="E72" s="40">
        <v>7</v>
      </c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  <c r="AL72" s="47"/>
    </row>
    <row r="73" spans="1:38" x14ac:dyDescent="0.25">
      <c r="A73" s="22" t="s">
        <v>105</v>
      </c>
      <c r="B73" s="16">
        <v>72</v>
      </c>
      <c r="C73" s="43">
        <v>44632</v>
      </c>
      <c r="D73" s="17">
        <v>2</v>
      </c>
      <c r="E73" s="40">
        <v>1</v>
      </c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  <c r="AL73" s="47"/>
    </row>
    <row r="74" spans="1:38" x14ac:dyDescent="0.25">
      <c r="A74" s="22" t="s">
        <v>114</v>
      </c>
      <c r="B74" s="16">
        <v>73</v>
      </c>
      <c r="C74" s="43">
        <v>44633</v>
      </c>
      <c r="D74" s="17">
        <v>3</v>
      </c>
      <c r="E74" s="40">
        <v>2</v>
      </c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</row>
    <row r="75" spans="1:38" x14ac:dyDescent="0.25">
      <c r="A75" s="22" t="s">
        <v>123</v>
      </c>
      <c r="B75" s="16">
        <v>74</v>
      </c>
      <c r="C75" s="43">
        <v>44634</v>
      </c>
      <c r="D75" s="17">
        <v>4</v>
      </c>
      <c r="E75" s="40">
        <v>3</v>
      </c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</row>
    <row r="76" spans="1:38" x14ac:dyDescent="0.25">
      <c r="A76" s="23" t="s">
        <v>131</v>
      </c>
      <c r="B76" s="18">
        <v>75</v>
      </c>
      <c r="C76" s="44">
        <v>44635</v>
      </c>
      <c r="D76" s="19">
        <v>5</v>
      </c>
      <c r="E76" s="41">
        <v>4</v>
      </c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_7">
                <anchor moveWithCells="1" sizeWithCells="1">
                  <from>
                    <xdr:col>5</xdr:col>
                    <xdr:colOff>19050</xdr:colOff>
                    <xdr:row>1</xdr:row>
                    <xdr:rowOff>0</xdr:rowOff>
                  </from>
                  <to>
                    <xdr:col>12</xdr:col>
                    <xdr:colOff>133350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menu">
                <anchor moveWithCells="1" sizeWithCells="1">
                  <from>
                    <xdr:col>5</xdr:col>
                    <xdr:colOff>19050</xdr:colOff>
                    <xdr:row>0</xdr:row>
                    <xdr:rowOff>19050</xdr:rowOff>
                  </from>
                  <to>
                    <xdr:col>12</xdr:col>
                    <xdr:colOff>142875</xdr:colOff>
                    <xdr:row>0</xdr:row>
                    <xdr:rowOff>1152525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F3D11-BE22-4A7C-B4D9-9C04755A0B3C}">
  <sheetPr codeName="Sheet4"/>
  <dimension ref="A1:XED23"/>
  <sheetViews>
    <sheetView workbookViewId="0">
      <selection activeCell="J24" sqref="J24"/>
    </sheetView>
  </sheetViews>
  <sheetFormatPr defaultRowHeight="15" x14ac:dyDescent="0.25"/>
  <cols>
    <col min="1" max="1" width="13" style="10" bestFit="1" customWidth="1"/>
    <col min="2" max="2" width="39.7109375" style="10" bestFit="1" customWidth="1"/>
    <col min="3" max="3" width="81.140625" style="10" bestFit="1" customWidth="1"/>
    <col min="4" max="4" width="15" style="10" bestFit="1" customWidth="1"/>
    <col min="5" max="16384" width="9.140625" style="10"/>
  </cols>
  <sheetData>
    <row r="1" spans="1:4 16358:16358" ht="101.25" x14ac:dyDescent="0.25">
      <c r="A1" s="26" t="s">
        <v>249</v>
      </c>
      <c r="B1" s="2" t="s">
        <v>251</v>
      </c>
      <c r="C1" s="20" t="s">
        <v>252</v>
      </c>
      <c r="D1" s="6" t="s">
        <v>253</v>
      </c>
    </row>
    <row r="2" spans="1:4 16358:16358" x14ac:dyDescent="0.25">
      <c r="A2" s="27">
        <v>1</v>
      </c>
      <c r="B2" s="3" t="s">
        <v>254</v>
      </c>
      <c r="C2" s="21" t="s">
        <v>255</v>
      </c>
      <c r="D2" s="7">
        <v>7.99</v>
      </c>
    </row>
    <row r="3" spans="1:4 16358:16358" x14ac:dyDescent="0.25">
      <c r="A3" s="28">
        <v>2</v>
      </c>
      <c r="B3" s="4" t="s">
        <v>256</v>
      </c>
      <c r="C3" s="22" t="s">
        <v>257</v>
      </c>
      <c r="D3" s="8">
        <v>7.99</v>
      </c>
    </row>
    <row r="4" spans="1:4 16358:16358" x14ac:dyDescent="0.25">
      <c r="A4" s="28">
        <v>3</v>
      </c>
      <c r="B4" s="4" t="s">
        <v>258</v>
      </c>
      <c r="C4" s="22" t="s">
        <v>259</v>
      </c>
      <c r="D4" s="8">
        <v>7.99</v>
      </c>
    </row>
    <row r="5" spans="1:4 16358:16358" x14ac:dyDescent="0.25">
      <c r="A5" s="28">
        <v>4</v>
      </c>
      <c r="B5" s="4" t="s">
        <v>260</v>
      </c>
      <c r="C5" s="22" t="s">
        <v>261</v>
      </c>
      <c r="D5" s="8">
        <v>7.99</v>
      </c>
    </row>
    <row r="6" spans="1:4 16358:16358" x14ac:dyDescent="0.25">
      <c r="A6" s="28">
        <v>5</v>
      </c>
      <c r="B6" s="4" t="s">
        <v>262</v>
      </c>
      <c r="C6" s="22" t="s">
        <v>263</v>
      </c>
      <c r="D6" s="8">
        <v>7.99</v>
      </c>
    </row>
    <row r="7" spans="1:4 16358:16358" x14ac:dyDescent="0.25">
      <c r="A7" s="28">
        <v>6</v>
      </c>
      <c r="B7" s="4" t="s">
        <v>264</v>
      </c>
      <c r="C7" s="22" t="s">
        <v>265</v>
      </c>
      <c r="D7" s="8">
        <v>7.99</v>
      </c>
    </row>
    <row r="8" spans="1:4 16358:16358" x14ac:dyDescent="0.25">
      <c r="A8" s="29">
        <v>7</v>
      </c>
      <c r="B8" s="5" t="s">
        <v>266</v>
      </c>
      <c r="C8" s="23" t="s">
        <v>267</v>
      </c>
      <c r="D8" s="9">
        <v>7.99</v>
      </c>
    </row>
    <row r="9" spans="1:4 16358:16358" x14ac:dyDescent="0.25">
      <c r="XED9" s="25"/>
    </row>
    <row r="23" spans="16355:16355" x14ac:dyDescent="0.25">
      <c r="XEA23" s="10" t="s">
        <v>268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9</xdr:col>
                    <xdr:colOff>152400</xdr:colOff>
                    <xdr:row>0</xdr:row>
                    <xdr:rowOff>838200</xdr:rowOff>
                  </from>
                  <to>
                    <xdr:col>15</xdr:col>
                    <xdr:colOff>95250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_7">
                <anchor moveWithCells="1" sizeWithCells="1">
                  <from>
                    <xdr:col>9</xdr:col>
                    <xdr:colOff>152400</xdr:colOff>
                    <xdr:row>7</xdr:row>
                    <xdr:rowOff>95250</xdr:rowOff>
                  </from>
                  <to>
                    <xdr:col>15</xdr:col>
                    <xdr:colOff>104775</xdr:colOff>
                    <xdr:row>16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BE3C6-0606-4C4C-A1F4-2E313BD2C21C}">
  <sheetPr codeName="Sheet1"/>
  <dimension ref="A1:AD39"/>
  <sheetViews>
    <sheetView tabSelected="1" topLeftCell="A8" workbookViewId="0">
      <selection activeCell="I30" sqref="I30"/>
    </sheetView>
  </sheetViews>
  <sheetFormatPr defaultRowHeight="15" x14ac:dyDescent="0.25"/>
  <cols>
    <col min="1" max="16384" width="9.140625" style="10"/>
  </cols>
  <sheetData>
    <row r="1" spans="1:29" x14ac:dyDescent="0.25">
      <c r="A1" s="51" t="s">
        <v>269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</row>
    <row r="2" spans="1:29" x14ac:dyDescent="0.25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</row>
    <row r="3" spans="1:29" x14ac:dyDescent="0.25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</row>
    <row r="4" spans="1:29" x14ac:dyDescent="0.25">
      <c r="D4" s="11"/>
    </row>
    <row r="6" spans="1:29" ht="18.75" customHeight="1" x14ac:dyDescent="0.25">
      <c r="H6" s="53" t="s">
        <v>291</v>
      </c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</row>
    <row r="7" spans="1:29" ht="15" customHeight="1" x14ac:dyDescent="0.25"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</row>
    <row r="8" spans="1:29" ht="15" customHeight="1" x14ac:dyDescent="0.25"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</row>
    <row r="9" spans="1:29" ht="15" customHeight="1" x14ac:dyDescent="0.25"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</row>
    <row r="10" spans="1:29" ht="15" customHeight="1" x14ac:dyDescent="0.25"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</row>
    <row r="25" spans="14:14" x14ac:dyDescent="0.25">
      <c r="N25" s="10" t="s">
        <v>284</v>
      </c>
    </row>
    <row r="37" spans="1:30" x14ac:dyDescent="0.25">
      <c r="A37" s="52" t="s">
        <v>270</v>
      </c>
      <c r="B37" s="52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</row>
    <row r="39" spans="1:30" x14ac:dyDescent="0.25">
      <c r="E39" s="35"/>
    </row>
  </sheetData>
  <mergeCells count="3">
    <mergeCell ref="A1:AC3"/>
    <mergeCell ref="A37:AD37"/>
    <mergeCell ref="H6:T1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Button7_Click">
                <anchor moveWithCells="1" sizeWithCells="1">
                  <from>
                    <xdr:col>0</xdr:col>
                    <xdr:colOff>9525</xdr:colOff>
                    <xdr:row>8</xdr:row>
                    <xdr:rowOff>66675</xdr:rowOff>
                  </from>
                  <to>
                    <xdr:col>6</xdr:col>
                    <xdr:colOff>552450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Module1.Product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6</xdr:col>
                    <xdr:colOff>561975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Button1_Click">
                <anchor moveWithCells="1" sizeWithCells="1">
                  <from>
                    <xdr:col>0</xdr:col>
                    <xdr:colOff>0</xdr:colOff>
                    <xdr:row>17</xdr:row>
                    <xdr:rowOff>38100</xdr:rowOff>
                  </from>
                  <to>
                    <xdr:col>6</xdr:col>
                    <xdr:colOff>552450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Button10_Click">
                <anchor moveWithCells="1" sizeWithCells="1">
                  <from>
                    <xdr:col>0</xdr:col>
                    <xdr:colOff>0</xdr:colOff>
                    <xdr:row>25</xdr:row>
                    <xdr:rowOff>28575</xdr:rowOff>
                  </from>
                  <to>
                    <xdr:col>6</xdr:col>
                    <xdr:colOff>542925</xdr:colOff>
                    <xdr:row>34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D5D56-2B4A-4757-ACED-988AB4E64124}">
  <sheetPr codeName="Sheet5">
    <pageSetUpPr fitToPage="1"/>
  </sheetPr>
  <dimension ref="A1:AM31"/>
  <sheetViews>
    <sheetView zoomScale="115" zoomScaleNormal="115" workbookViewId="0">
      <selection activeCell="K26" sqref="K26"/>
    </sheetView>
  </sheetViews>
  <sheetFormatPr defaultRowHeight="15" outlineLevelRow="1" x14ac:dyDescent="0.25"/>
  <cols>
    <col min="1" max="6" width="9.140625" style="10"/>
    <col min="7" max="8" width="13.85546875" style="10" bestFit="1" customWidth="1"/>
    <col min="9" max="9" width="10.7109375" style="10" bestFit="1" customWidth="1"/>
    <col min="10" max="14" width="9.140625" style="10"/>
    <col min="15" max="15" width="19.42578125" style="10" customWidth="1"/>
    <col min="16" max="16384" width="9.140625" style="10"/>
  </cols>
  <sheetData>
    <row r="1" spans="1:39" ht="15" customHeight="1" x14ac:dyDescent="0.25">
      <c r="A1" s="51" t="s">
        <v>271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</row>
    <row r="2" spans="1:39" x14ac:dyDescent="0.25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52"/>
      <c r="AF2" s="52"/>
      <c r="AG2" s="52"/>
      <c r="AH2" s="52"/>
      <c r="AI2" s="52"/>
      <c r="AJ2" s="52"/>
      <c r="AK2" s="52"/>
      <c r="AL2" s="52"/>
      <c r="AM2" s="52"/>
    </row>
    <row r="3" spans="1:39" x14ac:dyDescent="0.25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M3" s="52"/>
    </row>
    <row r="4" spans="1:39" x14ac:dyDescent="0.25">
      <c r="A4" s="52"/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</row>
    <row r="5" spans="1:39" x14ac:dyDescent="0.25">
      <c r="A5" s="30" t="s">
        <v>274</v>
      </c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</row>
    <row r="6" spans="1:39" ht="28.5" x14ac:dyDescent="0.45">
      <c r="A6" s="31" t="s">
        <v>271</v>
      </c>
      <c r="B6" s="30"/>
      <c r="C6" s="30"/>
      <c r="D6" s="30"/>
      <c r="E6" s="30"/>
      <c r="F6" s="30"/>
      <c r="G6" s="30"/>
      <c r="H6" s="30" t="s">
        <v>277</v>
      </c>
      <c r="I6" s="30"/>
      <c r="J6" s="30"/>
      <c r="K6" s="30"/>
      <c r="L6" s="30"/>
      <c r="M6" s="36" t="s">
        <v>285</v>
      </c>
      <c r="N6" s="30" t="s">
        <v>286</v>
      </c>
      <c r="O6" s="30"/>
    </row>
    <row r="7" spans="1:39" x14ac:dyDescent="0.25">
      <c r="A7" s="54" t="s">
        <v>1</v>
      </c>
      <c r="B7" s="54"/>
      <c r="C7" s="30" t="s">
        <v>8</v>
      </c>
      <c r="D7" s="30"/>
      <c r="E7" s="30"/>
      <c r="F7" s="30"/>
      <c r="G7" s="54" t="s">
        <v>279</v>
      </c>
      <c r="H7" s="54"/>
      <c r="I7" s="59"/>
      <c r="J7" s="59"/>
      <c r="K7" s="30"/>
      <c r="L7" s="30"/>
      <c r="M7" s="30"/>
      <c r="N7" s="30"/>
      <c r="O7" s="30"/>
    </row>
    <row r="8" spans="1:39" x14ac:dyDescent="0.25">
      <c r="A8" s="54" t="s">
        <v>2</v>
      </c>
      <c r="B8" s="54"/>
      <c r="C8" s="30" t="str">
        <f>VLOOKUP(C7,'Customers'!A2:J31,2)</f>
        <v>Mr.</v>
      </c>
      <c r="D8" s="30"/>
      <c r="E8" s="30"/>
      <c r="F8" s="30"/>
      <c r="G8" s="54" t="s">
        <v>278</v>
      </c>
      <c r="H8" s="54"/>
      <c r="I8" s="59">
        <f>VLOOKUP(C7,Orders2[[Customer_ID]:[Date_of_Order]],3)</f>
        <v>44562</v>
      </c>
      <c r="J8" s="59"/>
      <c r="K8" s="30"/>
      <c r="L8" s="30"/>
      <c r="M8" s="30"/>
      <c r="N8" s="30"/>
      <c r="O8" s="30"/>
    </row>
    <row r="9" spans="1:39" x14ac:dyDescent="0.25">
      <c r="A9" s="54" t="s">
        <v>3</v>
      </c>
      <c r="B9" s="54"/>
      <c r="C9" s="30" t="str">
        <f>VLOOKUP(C7,'Customers'!A2:J31,3)</f>
        <v>John</v>
      </c>
      <c r="D9" s="30"/>
      <c r="E9" s="30"/>
      <c r="F9" s="30"/>
      <c r="G9" s="54" t="s">
        <v>280</v>
      </c>
      <c r="H9" s="54"/>
      <c r="I9" s="30">
        <f>VLOOKUP(C7,Orders2[[Customer_ID]:[Order Number]],2)</f>
        <v>1</v>
      </c>
      <c r="J9" s="30"/>
      <c r="K9" s="30"/>
      <c r="L9" s="30"/>
      <c r="M9" s="30"/>
      <c r="N9" s="30"/>
      <c r="O9" s="30"/>
    </row>
    <row r="10" spans="1:39" x14ac:dyDescent="0.25">
      <c r="A10" s="54" t="s">
        <v>273</v>
      </c>
      <c r="B10" s="54"/>
      <c r="C10" s="30" t="str">
        <f>VLOOKUP(C7,'Customers'!A2:J31,4)</f>
        <v>Smith</v>
      </c>
      <c r="D10" s="30"/>
      <c r="E10" s="30"/>
      <c r="F10" s="30"/>
      <c r="G10" s="54" t="s">
        <v>249</v>
      </c>
      <c r="H10" s="54"/>
      <c r="I10" s="30">
        <v>1</v>
      </c>
      <c r="J10" s="30"/>
      <c r="K10" s="30"/>
      <c r="L10" s="30"/>
      <c r="M10" s="30"/>
      <c r="N10" s="30"/>
      <c r="O10" s="30"/>
    </row>
    <row r="11" spans="1:39" x14ac:dyDescent="0.25">
      <c r="A11" s="54" t="s">
        <v>272</v>
      </c>
      <c r="B11" s="54"/>
      <c r="C11" s="30" t="str">
        <f>VLOOKUP(C7,'Customers'!A2:J31,5)</f>
        <v>1 Main St</v>
      </c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</row>
    <row r="12" spans="1:39" x14ac:dyDescent="0.25">
      <c r="A12" s="54" t="s">
        <v>275</v>
      </c>
      <c r="B12" s="54"/>
      <c r="C12" s="30" t="str">
        <f>VLOOKUP(C7,'Customers'!A2:J31,5)</f>
        <v>1 Main St</v>
      </c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</row>
    <row r="13" spans="1:39" x14ac:dyDescent="0.25">
      <c r="A13" s="54" t="s">
        <v>276</v>
      </c>
      <c r="B13" s="54"/>
      <c r="C13" s="30" t="str">
        <f>VLOOKUP(C7,Customers[],9)</f>
        <v>NW1 3AB</v>
      </c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</row>
    <row r="14" spans="1:39" x14ac:dyDescent="0.25">
      <c r="A14" s="54" t="s">
        <v>4</v>
      </c>
      <c r="B14" s="54"/>
      <c r="C14" s="30" t="str">
        <f>VLOOKUP(C7,Customers[],7)</f>
        <v>London</v>
      </c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</row>
    <row r="15" spans="1:39" x14ac:dyDescent="0.25">
      <c r="A15" s="54" t="s">
        <v>5</v>
      </c>
      <c r="B15" s="54"/>
      <c r="C15" s="30" t="str">
        <f>VLOOKUP(C7,'Customers'!A2:J31,8)</f>
        <v>Greater London</v>
      </c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</row>
    <row r="16" spans="1:39" x14ac:dyDescent="0.25">
      <c r="A16" s="54"/>
      <c r="B16" s="54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</row>
    <row r="17" spans="1:15" x14ac:dyDescent="0.25">
      <c r="A17" s="54"/>
      <c r="B17" s="54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</row>
    <row r="18" spans="1:15" x14ac:dyDescent="0.25">
      <c r="A18" s="55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30"/>
      <c r="N18" s="30"/>
      <c r="O18" s="30"/>
    </row>
    <row r="19" spans="1:15" x14ac:dyDescent="0.25">
      <c r="A19" s="55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30"/>
      <c r="N19" s="30"/>
      <c r="O19" s="30"/>
    </row>
    <row r="20" spans="1:15" ht="15" customHeight="1" x14ac:dyDescent="0.45">
      <c r="A20" s="31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0"/>
      <c r="N20" s="30"/>
      <c r="O20" s="30"/>
    </row>
    <row r="21" spans="1:15" ht="33.75" customHeight="1" x14ac:dyDescent="0.45">
      <c r="A21" s="56" t="s">
        <v>281</v>
      </c>
      <c r="B21" s="57"/>
      <c r="C21" s="57"/>
      <c r="D21" s="57"/>
      <c r="E21" s="57"/>
      <c r="F21" s="58"/>
      <c r="G21" s="56" t="s">
        <v>282</v>
      </c>
      <c r="H21" s="58"/>
      <c r="I21" s="56" t="s">
        <v>283</v>
      </c>
      <c r="J21" s="58"/>
      <c r="K21" s="56" t="s">
        <v>294</v>
      </c>
      <c r="L21" s="58"/>
      <c r="M21" s="56" t="s">
        <v>292</v>
      </c>
      <c r="N21" s="58"/>
      <c r="O21" s="49" t="s">
        <v>293</v>
      </c>
    </row>
    <row r="22" spans="1:15" ht="23.25" customHeight="1" x14ac:dyDescent="0.45">
      <c r="A22" s="56" t="str">
        <f>VLOOKUP(I9,Products!A2:B8,2)</f>
        <v>Christmas Hot Chocolate</v>
      </c>
      <c r="B22" s="57"/>
      <c r="C22" s="57"/>
      <c r="D22" s="57"/>
      <c r="E22" s="57"/>
      <c r="F22" s="58"/>
      <c r="G22" s="62">
        <v>7.99</v>
      </c>
      <c r="H22" s="63"/>
      <c r="I22" s="56">
        <f>VLOOKUP(C7,Orders!A2:D76,4)</f>
        <v>2</v>
      </c>
      <c r="J22" s="58"/>
      <c r="K22" s="60">
        <f>G22*I22</f>
        <v>15.98</v>
      </c>
      <c r="L22" s="61"/>
      <c r="M22" s="60">
        <f>K22*20%</f>
        <v>3.1960000000000002</v>
      </c>
      <c r="N22" s="58"/>
      <c r="O22" s="50">
        <f>SUM(K22:N22)</f>
        <v>19.176000000000002</v>
      </c>
    </row>
    <row r="23" spans="1:15" ht="22.5" customHeight="1" x14ac:dyDescent="0.4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2"/>
      <c r="L23" s="33"/>
      <c r="M23" s="32"/>
      <c r="N23" s="33"/>
      <c r="O23" s="48"/>
    </row>
    <row r="24" spans="1:15" ht="22.5" customHeight="1" x14ac:dyDescent="0.25"/>
    <row r="25" spans="1:15" ht="24.75" customHeight="1" x14ac:dyDescent="0.25"/>
    <row r="26" spans="1:15" ht="22.5" customHeight="1" x14ac:dyDescent="0.25">
      <c r="E26" s="37"/>
    </row>
    <row r="27" spans="1:15" ht="24" customHeight="1" outlineLevel="1" x14ac:dyDescent="0.25"/>
    <row r="28" spans="1:15" ht="21.75" customHeight="1" outlineLevel="1" x14ac:dyDescent="0.25"/>
    <row r="29" spans="1:15" ht="21" customHeight="1" outlineLevel="1" x14ac:dyDescent="0.25"/>
    <row r="30" spans="1:15" ht="25.5" customHeight="1" outlineLevel="1" x14ac:dyDescent="0.25"/>
    <row r="31" spans="1:15" ht="25.5" customHeight="1" outlineLevel="1" x14ac:dyDescent="0.25">
      <c r="I31" s="34"/>
    </row>
  </sheetData>
  <scenarios current="0" show="0">
    <scenario name="what happens" locked="1" count="2" user="Elliott Patterson" comment="Created by Elliott Patterson on 27/09/2023">
      <inputCells r="J28" val="123"/>
      <inputCells r="J29" val="12323"/>
    </scenario>
  </scenarios>
  <mergeCells count="29">
    <mergeCell ref="M22:N22"/>
    <mergeCell ref="K22:L22"/>
    <mergeCell ref="I22:J22"/>
    <mergeCell ref="G22:H22"/>
    <mergeCell ref="A12:B12"/>
    <mergeCell ref="A13:B13"/>
    <mergeCell ref="A14:B14"/>
    <mergeCell ref="A15:B15"/>
    <mergeCell ref="M21:N21"/>
    <mergeCell ref="G21:H21"/>
    <mergeCell ref="I21:J21"/>
    <mergeCell ref="K21:L21"/>
    <mergeCell ref="A16:B16"/>
    <mergeCell ref="A17:B17"/>
    <mergeCell ref="A22:F22"/>
    <mergeCell ref="A11:B11"/>
    <mergeCell ref="A18:L19"/>
    <mergeCell ref="A21:F21"/>
    <mergeCell ref="A1:AM4"/>
    <mergeCell ref="A7:B7"/>
    <mergeCell ref="A8:B8"/>
    <mergeCell ref="A9:B9"/>
    <mergeCell ref="A10:B10"/>
    <mergeCell ref="G9:H9"/>
    <mergeCell ref="G10:H10"/>
    <mergeCell ref="G8:H8"/>
    <mergeCell ref="G7:H7"/>
    <mergeCell ref="I8:J8"/>
    <mergeCell ref="I7:J7"/>
  </mergeCells>
  <phoneticPr fontId="2" type="noConversion"/>
  <pageMargins left="0.70866141732283472" right="0.70866141732283472" top="0.74803149606299213" bottom="0.74803149606299213" header="0.31496062992125984" footer="0.31496062992125984"/>
  <pageSetup paperSize="9" scale="23" orientation="portrait" r:id="rId1"/>
  <cellWatches>
    <cellWatch r="A22"/>
    <cellWatch r="G22"/>
    <cellWatch r="I22"/>
    <cellWatch r="K22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enu">
                <anchor moveWithCells="1" sizeWithCells="1">
                  <from>
                    <xdr:col>25</xdr:col>
                    <xdr:colOff>447675</xdr:colOff>
                    <xdr:row>1</xdr:row>
                    <xdr:rowOff>76200</xdr:rowOff>
                  </from>
                  <to>
                    <xdr:col>28</xdr:col>
                    <xdr:colOff>485775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Button4_Click">
                <anchor moveWithCells="1" sizeWithCells="1">
                  <from>
                    <xdr:col>25</xdr:col>
                    <xdr:colOff>552450</xdr:colOff>
                    <xdr:row>6</xdr:row>
                    <xdr:rowOff>85725</xdr:rowOff>
                  </from>
                  <to>
                    <xdr:col>27</xdr:col>
                    <xdr:colOff>438150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6" name="Button 6">
              <controlPr defaultSize="0" print="0" autoFill="0" autoPict="0" macro="[0]!menu">
                <anchor moveWithCells="1" sizeWithCells="1">
                  <from>
                    <xdr:col>0</xdr:col>
                    <xdr:colOff>142875</xdr:colOff>
                    <xdr:row>23</xdr:row>
                    <xdr:rowOff>228600</xdr:rowOff>
                  </from>
                  <to>
                    <xdr:col>3</xdr:col>
                    <xdr:colOff>409575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7" name="Button 7">
              <controlPr defaultSize="0" print="0" autoFill="0" autoPict="0" macro="[0]!Button_7">
                <anchor moveWithCells="1" sizeWithCells="1">
                  <from>
                    <xdr:col>3</xdr:col>
                    <xdr:colOff>504825</xdr:colOff>
                    <xdr:row>23</xdr:row>
                    <xdr:rowOff>276225</xdr:rowOff>
                  </from>
                  <to>
                    <xdr:col>7</xdr:col>
                    <xdr:colOff>276225</xdr:colOff>
                    <xdr:row>26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45D7F71-8A0B-4B95-958C-3C977BE76EDC}">
          <x14:formula1>
            <xm:f>'Customers'!$A$2:$A$31</xm:f>
          </x14:formula1>
          <xm:sqref>C7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C2D0D39-4728-4578-9AD4-523976B7A8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Customers</vt:lpstr>
      <vt:lpstr>Orders</vt:lpstr>
      <vt:lpstr>Products</vt:lpstr>
      <vt:lpstr>Menu</vt:lpstr>
      <vt:lpstr>Invoice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Elliott Patterson</dc:creator>
  <cp:lastModifiedBy>Elliott Patterson</cp:lastModifiedBy>
  <cp:lastPrinted>2024-04-29T09:26:15Z</cp:lastPrinted>
  <dcterms:created xsi:type="dcterms:W3CDTF">2023-05-16T13:05:20Z</dcterms:created>
  <dcterms:modified xsi:type="dcterms:W3CDTF">2024-05-08T14:37:50Z</dcterms:modified>
</cp:coreProperties>
</file>